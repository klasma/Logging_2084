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31875-2025</t>
        </is>
      </c>
      <c r="B2" s="1" t="n">
        <v>45834</v>
      </c>
      <c r="C2" s="1" t="n">
        <v>46197</v>
      </c>
      <c r="D2" t="inlineStr">
        <is>
          <t>DALARNAS LÄN</t>
        </is>
      </c>
      <c r="E2" t="inlineStr">
        <is>
          <t>AVESTA</t>
        </is>
      </c>
      <c r="G2" t="n">
        <v>2.6</v>
      </c>
      <c r="H2" t="n">
        <v>15</v>
      </c>
      <c r="I2" t="n">
        <v>0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15</v>
      </c>
      <c r="R2" s="2" t="inlineStr">
        <is>
          <t>Grönfink
Björktrast
Duvhök
Entita
Gulsparv
Järnsparv
Nötkråka
Rödvingetrast
Sparvuggla
Talltita
Gråspett
Mattlummer
Spillkråka
Grönsiska
Kungsfågel</t>
        </is>
      </c>
      <c r="S2">
        <f>HYPERLINK("https://klasma.github.io/Logging_2084/artfynd/A 31875-2025 artfynd.xlsx", "A 31875-2025")</f>
        <v/>
      </c>
      <c r="T2">
        <f>HYPERLINK("https://klasma.github.io/Logging_2084/kartor/A 31875-2025 karta.png", "A 31875-2025")</f>
        <v/>
      </c>
      <c r="V2">
        <f>HYPERLINK("https://klasma.github.io/Logging_2084/klagomål/A 31875-2025 FSC-klagomål.docx", "A 31875-2025")</f>
        <v/>
      </c>
      <c r="W2">
        <f>HYPERLINK("https://klasma.github.io/Logging_2084/klagomålsmail/A 31875-2025 FSC-klagomål mail.docx", "A 31875-2025")</f>
        <v/>
      </c>
      <c r="X2">
        <f>HYPERLINK("https://klasma.github.io/Logging_2084/tillsyn/A 31875-2025 tillsynsbegäran.docx", "A 31875-2025")</f>
        <v/>
      </c>
      <c r="Y2">
        <f>HYPERLINK("https://klasma.github.io/Logging_2084/tillsynsmail/A 31875-2025 tillsynsbegäran mail.docx", "A 31875-2025")</f>
        <v/>
      </c>
      <c r="Z2">
        <f>HYPERLINK("https://klasma.github.io/Logging_2084/fåglar/A 31875-2025 prioriterade fågelarter.docx", "A 31875-2025")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46197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6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Talltita
Bollvitmossa
Bronshjon
Nästlav
Spillkråka
Åkergroda
Vanlig groda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3419-2026</t>
        </is>
      </c>
      <c r="B4" s="1" t="n">
        <v>46042</v>
      </c>
      <c r="C4" s="1" t="n">
        <v>46197</v>
      </c>
      <c r="D4" t="inlineStr">
        <is>
          <t>DALARNAS LÄN</t>
        </is>
      </c>
      <c r="E4" t="inlineStr">
        <is>
          <t>AVESTA</t>
        </is>
      </c>
      <c r="G4" t="n">
        <v>5.4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Rynkskinn
Ullticka
Revlummer</t>
        </is>
      </c>
      <c r="S4">
        <f>HYPERLINK("https://klasma.github.io/Logging_2084/artfynd/A 3419-2026 artfynd.xlsx", "A 3419-2026")</f>
        <v/>
      </c>
      <c r="T4">
        <f>HYPERLINK("https://klasma.github.io/Logging_2084/kartor/A 3419-2026 karta.png", "A 3419-2026")</f>
        <v/>
      </c>
      <c r="U4">
        <f>HYPERLINK("https://klasma.github.io/Logging_2084/knärot/A 3419-2026 karta knärot.png", "A 3419-2026")</f>
        <v/>
      </c>
      <c r="V4">
        <f>HYPERLINK("https://klasma.github.io/Logging_2084/klagomål/A 3419-2026 FSC-klagomål.docx", "A 3419-2026")</f>
        <v/>
      </c>
      <c r="W4">
        <f>HYPERLINK("https://klasma.github.io/Logging_2084/klagomålsmail/A 3419-2026 FSC-klagomål mail.docx", "A 3419-2026")</f>
        <v/>
      </c>
      <c r="X4">
        <f>HYPERLINK("https://klasma.github.io/Logging_2084/tillsyn/A 3419-2026 tillsynsbegäran.docx", "A 3419-2026")</f>
        <v/>
      </c>
      <c r="Y4">
        <f>HYPERLINK("https://klasma.github.io/Logging_2084/tillsynsmail/A 3419-2026 tillsynsbegäran mail.docx", "A 3419-2026")</f>
        <v/>
      </c>
    </row>
    <row r="5" ht="15" customHeight="1">
      <c r="A5" t="inlineStr">
        <is>
          <t>A 31138-2023</t>
        </is>
      </c>
      <c r="B5" s="1" t="n">
        <v>45103</v>
      </c>
      <c r="C5" s="1" t="n">
        <v>46197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4.3</v>
      </c>
      <c r="H5" t="n">
        <v>0</v>
      </c>
      <c r="I5" t="n">
        <v>2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4</v>
      </c>
      <c r="R5" s="2" t="inlineStr">
        <is>
          <t>Klosterlav
Liten blekspik
Dvärgtufs
Rostfläck</t>
        </is>
      </c>
      <c r="S5">
        <f>HYPERLINK("https://klasma.github.io/Logging_2084/artfynd/A 31138-2023 artfynd.xlsx", "A 31138-2023")</f>
        <v/>
      </c>
      <c r="T5">
        <f>HYPERLINK("https://klasma.github.io/Logging_2084/kartor/A 31138-2023 karta.png", "A 31138-2023")</f>
        <v/>
      </c>
      <c r="V5">
        <f>HYPERLINK("https://klasma.github.io/Logging_2084/klagomål/A 31138-2023 FSC-klagomål.docx", "A 31138-2023")</f>
        <v/>
      </c>
      <c r="W5">
        <f>HYPERLINK("https://klasma.github.io/Logging_2084/klagomålsmail/A 31138-2023 FSC-klagomål mail.docx", "A 31138-2023")</f>
        <v/>
      </c>
      <c r="X5">
        <f>HYPERLINK("https://klasma.github.io/Logging_2084/tillsyn/A 31138-2023 tillsynsbegäran.docx", "A 31138-2023")</f>
        <v/>
      </c>
      <c r="Y5">
        <f>HYPERLINK("https://klasma.github.io/Logging_2084/tillsynsmail/A 31138-2023 tillsynsbegäran mail.docx", "A 31138-2023")</f>
        <v/>
      </c>
    </row>
    <row r="6" ht="15" customHeight="1">
      <c r="A6" t="inlineStr">
        <is>
          <t>A 20396-2022</t>
        </is>
      </c>
      <c r="B6" s="1" t="n">
        <v>44699</v>
      </c>
      <c r="C6" s="1" t="n">
        <v>46197</v>
      </c>
      <c r="D6" t="inlineStr">
        <is>
          <t>DALARNAS LÄN</t>
        </is>
      </c>
      <c r="E6" t="inlineStr">
        <is>
          <t>AVESTA</t>
        </is>
      </c>
      <c r="G6" t="n">
        <v>3.3</v>
      </c>
      <c r="H6" t="n">
        <v>3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Knärot
Bollvitmossa
Korallrot
Spillkråka</t>
        </is>
      </c>
      <c r="S6">
        <f>HYPERLINK("https://klasma.github.io/Logging_2084/artfynd/A 20396-2022 artfynd.xlsx", "A 20396-2022")</f>
        <v/>
      </c>
      <c r="T6">
        <f>HYPERLINK("https://klasma.github.io/Logging_2084/kartor/A 20396-2022 karta.png", "A 20396-2022")</f>
        <v/>
      </c>
      <c r="U6">
        <f>HYPERLINK("https://klasma.github.io/Logging_2084/knärot/A 20396-2022 karta knärot.png", "A 20396-2022")</f>
        <v/>
      </c>
      <c r="V6">
        <f>HYPERLINK("https://klasma.github.io/Logging_2084/klagomål/A 20396-2022 FSC-klagomål.docx", "A 20396-2022")</f>
        <v/>
      </c>
      <c r="W6">
        <f>HYPERLINK("https://klasma.github.io/Logging_2084/klagomålsmail/A 20396-2022 FSC-klagomål mail.docx", "A 20396-2022")</f>
        <v/>
      </c>
      <c r="X6">
        <f>HYPERLINK("https://klasma.github.io/Logging_2084/tillsyn/A 20396-2022 tillsynsbegäran.docx", "A 20396-2022")</f>
        <v/>
      </c>
      <c r="Y6">
        <f>HYPERLINK("https://klasma.github.io/Logging_2084/tillsynsmail/A 20396-2022 tillsynsbegäran mail.docx", "A 20396-2022")</f>
        <v/>
      </c>
      <c r="Z6">
        <f>HYPERLINK("https://klasma.github.io/Logging_2084/fåglar/A 20396-2022 prioriterade fågelarter.docx", "A 20396-2022")</f>
        <v/>
      </c>
    </row>
    <row r="7" ht="15" customHeight="1">
      <c r="A7" t="inlineStr">
        <is>
          <t>A 59462-2023</t>
        </is>
      </c>
      <c r="B7" s="1" t="n">
        <v>45254</v>
      </c>
      <c r="C7" s="1" t="n">
        <v>46197</v>
      </c>
      <c r="D7" t="inlineStr">
        <is>
          <t>DALARNAS LÄN</t>
        </is>
      </c>
      <c r="E7" t="inlineStr">
        <is>
          <t>AVESTA</t>
        </is>
      </c>
      <c r="G7" t="n">
        <v>7.7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Ullticka
Plattlummer
Mattlummer
Fläcknycklar</t>
        </is>
      </c>
      <c r="S7">
        <f>HYPERLINK("https://klasma.github.io/Logging_2084/artfynd/A 59462-2023 artfynd.xlsx", "A 59462-2023")</f>
        <v/>
      </c>
      <c r="T7">
        <f>HYPERLINK("https://klasma.github.io/Logging_2084/kartor/A 59462-2023 karta.png", "A 59462-2023")</f>
        <v/>
      </c>
      <c r="V7">
        <f>HYPERLINK("https://klasma.github.io/Logging_2084/klagomål/A 59462-2023 FSC-klagomål.docx", "A 59462-2023")</f>
        <v/>
      </c>
      <c r="W7">
        <f>HYPERLINK("https://klasma.github.io/Logging_2084/klagomålsmail/A 59462-2023 FSC-klagomål mail.docx", "A 59462-2023")</f>
        <v/>
      </c>
      <c r="X7">
        <f>HYPERLINK("https://klasma.github.io/Logging_2084/tillsyn/A 59462-2023 tillsynsbegäran.docx", "A 59462-2023")</f>
        <v/>
      </c>
      <c r="Y7">
        <f>HYPERLINK("https://klasma.github.io/Logging_2084/tillsynsmail/A 59462-2023 tillsynsbegäran mail.docx", "A 59462-2023")</f>
        <v/>
      </c>
    </row>
    <row r="8" ht="15" customHeight="1">
      <c r="A8" t="inlineStr">
        <is>
          <t>A 56085-2023</t>
        </is>
      </c>
      <c r="B8" s="1" t="n">
        <v>45240</v>
      </c>
      <c r="C8" s="1" t="n">
        <v>46197</v>
      </c>
      <c r="D8" t="inlineStr">
        <is>
          <t>DALARNAS LÄN</t>
        </is>
      </c>
      <c r="E8" t="inlineStr">
        <is>
          <t>AVESTA</t>
        </is>
      </c>
      <c r="G8" t="n">
        <v>2.7</v>
      </c>
      <c r="H8" t="n">
        <v>1</v>
      </c>
      <c r="I8" t="n">
        <v>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Strandskinnlav
Rostfläck
Hårklomossa</t>
        </is>
      </c>
      <c r="S8">
        <f>HYPERLINK("https://klasma.github.io/Logging_2084/artfynd/A 56085-2023 artfynd.xlsx", "A 56085-2023")</f>
        <v/>
      </c>
      <c r="T8">
        <f>HYPERLINK("https://klasma.github.io/Logging_2084/kartor/A 56085-2023 karta.png", "A 56085-2023")</f>
        <v/>
      </c>
      <c r="V8">
        <f>HYPERLINK("https://klasma.github.io/Logging_2084/klagomål/A 56085-2023 FSC-klagomål.docx", "A 56085-2023")</f>
        <v/>
      </c>
      <c r="W8">
        <f>HYPERLINK("https://klasma.github.io/Logging_2084/klagomålsmail/A 56085-2023 FSC-klagomål mail.docx", "A 56085-2023")</f>
        <v/>
      </c>
      <c r="X8">
        <f>HYPERLINK("https://klasma.github.io/Logging_2084/tillsyn/A 56085-2023 tillsynsbegäran.docx", "A 56085-2023")</f>
        <v/>
      </c>
      <c r="Y8">
        <f>HYPERLINK("https://klasma.github.io/Logging_2084/tillsynsmail/A 56085-2023 tillsynsbegäran mail.docx", "A 56085-2023")</f>
        <v/>
      </c>
    </row>
    <row r="9" ht="15" customHeight="1">
      <c r="A9" t="inlineStr">
        <is>
          <t>A 69304-2021</t>
        </is>
      </c>
      <c r="B9" s="1" t="n">
        <v>44531</v>
      </c>
      <c r="C9" s="1" t="n">
        <v>46197</v>
      </c>
      <c r="D9" t="inlineStr">
        <is>
          <t>DALARNAS LÄN</t>
        </is>
      </c>
      <c r="E9" t="inlineStr">
        <is>
          <t>AVESTA</t>
        </is>
      </c>
      <c r="G9" t="n">
        <v>8</v>
      </c>
      <c r="H9" t="n">
        <v>1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Bronshjon
Vedticka</t>
        </is>
      </c>
      <c r="S9">
        <f>HYPERLINK("https://klasma.github.io/Logging_2084/artfynd/A 69304-2021 artfynd.xlsx", "A 69304-2021")</f>
        <v/>
      </c>
      <c r="T9">
        <f>HYPERLINK("https://klasma.github.io/Logging_2084/kartor/A 69304-2021 karta.png", "A 69304-2021")</f>
        <v/>
      </c>
      <c r="U9">
        <f>HYPERLINK("https://klasma.github.io/Logging_2084/knärot/A 69304-2021 karta knärot.png", "A 69304-2021")</f>
        <v/>
      </c>
      <c r="V9">
        <f>HYPERLINK("https://klasma.github.io/Logging_2084/klagomål/A 69304-2021 FSC-klagomål.docx", "A 69304-2021")</f>
        <v/>
      </c>
      <c r="W9">
        <f>HYPERLINK("https://klasma.github.io/Logging_2084/klagomålsmail/A 69304-2021 FSC-klagomål mail.docx", "A 69304-2021")</f>
        <v/>
      </c>
      <c r="X9">
        <f>HYPERLINK("https://klasma.github.io/Logging_2084/tillsyn/A 69304-2021 tillsynsbegäran.docx", "A 69304-2021")</f>
        <v/>
      </c>
      <c r="Y9">
        <f>HYPERLINK("https://klasma.github.io/Logging_2084/tillsynsmail/A 69304-2021 tillsynsbegäran mail.docx", "A 69304-2021")</f>
        <v/>
      </c>
    </row>
    <row r="10" ht="15" customHeight="1">
      <c r="A10" t="inlineStr">
        <is>
          <t>A 59921-2023</t>
        </is>
      </c>
      <c r="B10" s="1" t="n">
        <v>45257</v>
      </c>
      <c r="C10" s="1" t="n">
        <v>46197</v>
      </c>
      <c r="D10" t="inlineStr">
        <is>
          <t>DALARNAS LÄN</t>
        </is>
      </c>
      <c r="E10" t="inlineStr">
        <is>
          <t>AVESTA</t>
        </is>
      </c>
      <c r="G10" t="n">
        <v>0.4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Gulsparv
Talltita
Kungsfågel</t>
        </is>
      </c>
      <c r="S10">
        <f>HYPERLINK("https://klasma.github.io/Logging_2084/artfynd/A 59921-2023 artfynd.xlsx", "A 59921-2023")</f>
        <v/>
      </c>
      <c r="T10">
        <f>HYPERLINK("https://klasma.github.io/Logging_2084/kartor/A 59921-2023 karta.png", "A 59921-2023")</f>
        <v/>
      </c>
      <c r="V10">
        <f>HYPERLINK("https://klasma.github.io/Logging_2084/klagomål/A 59921-2023 FSC-klagomål.docx", "A 59921-2023")</f>
        <v/>
      </c>
      <c r="W10">
        <f>HYPERLINK("https://klasma.github.io/Logging_2084/klagomålsmail/A 59921-2023 FSC-klagomål mail.docx", "A 59921-2023")</f>
        <v/>
      </c>
      <c r="X10">
        <f>HYPERLINK("https://klasma.github.io/Logging_2084/tillsyn/A 59921-2023 tillsynsbegäran.docx", "A 59921-2023")</f>
        <v/>
      </c>
      <c r="Y10">
        <f>HYPERLINK("https://klasma.github.io/Logging_2084/tillsynsmail/A 59921-2023 tillsynsbegäran mail.docx", "A 59921-2023")</f>
        <v/>
      </c>
      <c r="Z10">
        <f>HYPERLINK("https://klasma.github.io/Logging_2084/fåglar/A 59921-2023 prioriterade fågelarter.docx", "A 59921-2023")</f>
        <v/>
      </c>
    </row>
    <row r="11" ht="15" customHeight="1">
      <c r="A11" t="inlineStr">
        <is>
          <t>A 60367-2024</t>
        </is>
      </c>
      <c r="B11" s="1" t="n">
        <v>45643</v>
      </c>
      <c r="C11" s="1" t="n">
        <v>46197</v>
      </c>
      <c r="D11" t="inlineStr">
        <is>
          <t>DALARNAS LÄN</t>
        </is>
      </c>
      <c r="E11" t="inlineStr">
        <is>
          <t>AVESTA</t>
        </is>
      </c>
      <c r="G11" t="n">
        <v>10.1</v>
      </c>
      <c r="H11" t="n">
        <v>2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Grönpyrola
Plattlummer</t>
        </is>
      </c>
      <c r="S11">
        <f>HYPERLINK("https://klasma.github.io/Logging_2084/artfynd/A 60367-2024 artfynd.xlsx", "A 60367-2024")</f>
        <v/>
      </c>
      <c r="T11">
        <f>HYPERLINK("https://klasma.github.io/Logging_2084/kartor/A 60367-2024 karta.png", "A 60367-2024")</f>
        <v/>
      </c>
      <c r="U11">
        <f>HYPERLINK("https://klasma.github.io/Logging_2084/knärot/A 60367-2024 karta knärot.png", "A 60367-2024")</f>
        <v/>
      </c>
      <c r="V11">
        <f>HYPERLINK("https://klasma.github.io/Logging_2084/klagomål/A 60367-2024 FSC-klagomål.docx", "A 60367-2024")</f>
        <v/>
      </c>
      <c r="W11">
        <f>HYPERLINK("https://klasma.github.io/Logging_2084/klagomålsmail/A 60367-2024 FSC-klagomål mail.docx", "A 60367-2024")</f>
        <v/>
      </c>
      <c r="X11">
        <f>HYPERLINK("https://klasma.github.io/Logging_2084/tillsyn/A 60367-2024 tillsynsbegäran.docx", "A 60367-2024")</f>
        <v/>
      </c>
      <c r="Y11">
        <f>HYPERLINK("https://klasma.github.io/Logging_2084/tillsynsmail/A 60367-2024 tillsynsbegäran mail.docx", "A 60367-2024")</f>
        <v/>
      </c>
    </row>
    <row r="12" ht="15" customHeight="1">
      <c r="A12" t="inlineStr">
        <is>
          <t>A 1688-2022</t>
        </is>
      </c>
      <c r="B12" s="1" t="n">
        <v>44574</v>
      </c>
      <c r="C12" s="1" t="n">
        <v>46197</v>
      </c>
      <c r="D12" t="inlineStr">
        <is>
          <t>DALARNAS LÄN</t>
        </is>
      </c>
      <c r="E12" t="inlineStr">
        <is>
          <t>AVESTA</t>
        </is>
      </c>
      <c r="G12" t="n">
        <v>10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Spillkråka</t>
        </is>
      </c>
      <c r="S12">
        <f>HYPERLINK("https://klasma.github.io/Logging_2084/artfynd/A 1688-2022 artfynd.xlsx", "A 1688-2022")</f>
        <v/>
      </c>
      <c r="T12">
        <f>HYPERLINK("https://klasma.github.io/Logging_2084/kartor/A 1688-2022 karta.png", "A 1688-2022")</f>
        <v/>
      </c>
      <c r="U12">
        <f>HYPERLINK("https://klasma.github.io/Logging_2084/knärot/A 1688-2022 karta knärot.png", "A 1688-2022")</f>
        <v/>
      </c>
      <c r="V12">
        <f>HYPERLINK("https://klasma.github.io/Logging_2084/klagomål/A 1688-2022 FSC-klagomål.docx", "A 1688-2022")</f>
        <v/>
      </c>
      <c r="W12">
        <f>HYPERLINK("https://klasma.github.io/Logging_2084/klagomålsmail/A 1688-2022 FSC-klagomål mail.docx", "A 1688-2022")</f>
        <v/>
      </c>
      <c r="X12">
        <f>HYPERLINK("https://klasma.github.io/Logging_2084/tillsyn/A 1688-2022 tillsynsbegäran.docx", "A 1688-2022")</f>
        <v/>
      </c>
      <c r="Y12">
        <f>HYPERLINK("https://klasma.github.io/Logging_2084/tillsynsmail/A 1688-2022 tillsynsbegäran mail.docx", "A 1688-2022")</f>
        <v/>
      </c>
      <c r="Z12">
        <f>HYPERLINK("https://klasma.github.io/Logging_2084/fåglar/A 1688-2022 prioriterade fågelarter.docx", "A 1688-2022")</f>
        <v/>
      </c>
    </row>
    <row r="13" ht="15" customHeight="1">
      <c r="A13" t="inlineStr">
        <is>
          <t>A 28087-2025</t>
        </is>
      </c>
      <c r="B13" s="1" t="n">
        <v>45817</v>
      </c>
      <c r="C13" s="1" t="n">
        <v>46197</v>
      </c>
      <c r="D13" t="inlineStr">
        <is>
          <t>DALARNAS LÄN</t>
        </is>
      </c>
      <c r="E13" t="inlineStr">
        <is>
          <t>AVESTA</t>
        </is>
      </c>
      <c r="F13" t="inlineStr">
        <is>
          <t>Sveaskog</t>
        </is>
      </c>
      <c r="G13" t="n">
        <v>4.5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Fläcknycklar</t>
        </is>
      </c>
      <c r="S13">
        <f>HYPERLINK("https://klasma.github.io/Logging_2084/artfynd/A 28087-2025 artfynd.xlsx", "A 28087-2025")</f>
        <v/>
      </c>
      <c r="T13">
        <f>HYPERLINK("https://klasma.github.io/Logging_2084/kartor/A 28087-2025 karta.png", "A 28087-2025")</f>
        <v/>
      </c>
      <c r="V13">
        <f>HYPERLINK("https://klasma.github.io/Logging_2084/klagomål/A 28087-2025 FSC-klagomål.docx", "A 28087-2025")</f>
        <v/>
      </c>
      <c r="W13">
        <f>HYPERLINK("https://klasma.github.io/Logging_2084/klagomålsmail/A 28087-2025 FSC-klagomål mail.docx", "A 28087-2025")</f>
        <v/>
      </c>
      <c r="X13">
        <f>HYPERLINK("https://klasma.github.io/Logging_2084/tillsyn/A 28087-2025 tillsynsbegäran.docx", "A 28087-2025")</f>
        <v/>
      </c>
      <c r="Y13">
        <f>HYPERLINK("https://klasma.github.io/Logging_2084/tillsynsmail/A 28087-2025 tillsynsbegäran mail.docx", "A 28087-2025")</f>
        <v/>
      </c>
    </row>
    <row r="14" ht="15" customHeight="1">
      <c r="A14" t="inlineStr">
        <is>
          <t>A 42290-2024</t>
        </is>
      </c>
      <c r="B14" s="1" t="n">
        <v>45562</v>
      </c>
      <c r="C14" s="1" t="n">
        <v>46197</v>
      </c>
      <c r="D14" t="inlineStr">
        <is>
          <t>DALARNAS LÄN</t>
        </is>
      </c>
      <c r="E14" t="inlineStr">
        <is>
          <t>AVESTA</t>
        </is>
      </c>
      <c r="F14" t="inlineStr">
        <is>
          <t>Sveaskog</t>
        </is>
      </c>
      <c r="G14" t="n">
        <v>0.7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Tjäder
Revlummer</t>
        </is>
      </c>
      <c r="S14">
        <f>HYPERLINK("https://klasma.github.io/Logging_2084/artfynd/A 42290-2024 artfynd.xlsx", "A 42290-2024")</f>
        <v/>
      </c>
      <c r="T14">
        <f>HYPERLINK("https://klasma.github.io/Logging_2084/kartor/A 42290-2024 karta.png", "A 42290-2024")</f>
        <v/>
      </c>
      <c r="V14">
        <f>HYPERLINK("https://klasma.github.io/Logging_2084/klagomål/A 42290-2024 FSC-klagomål.docx", "A 42290-2024")</f>
        <v/>
      </c>
      <c r="W14">
        <f>HYPERLINK("https://klasma.github.io/Logging_2084/klagomålsmail/A 42290-2024 FSC-klagomål mail.docx", "A 42290-2024")</f>
        <v/>
      </c>
      <c r="X14">
        <f>HYPERLINK("https://klasma.github.io/Logging_2084/tillsyn/A 42290-2024 tillsynsbegäran.docx", "A 42290-2024")</f>
        <v/>
      </c>
      <c r="Y14">
        <f>HYPERLINK("https://klasma.github.io/Logging_2084/tillsynsmail/A 42290-2024 tillsynsbegäran mail.docx", "A 42290-2024")</f>
        <v/>
      </c>
      <c r="Z14">
        <f>HYPERLINK("https://klasma.github.io/Logging_2084/fåglar/A 42290-2024 prioriterade fågelarter.docx", "A 42290-2024")</f>
        <v/>
      </c>
    </row>
    <row r="15" ht="15" customHeight="1">
      <c r="A15" t="inlineStr">
        <is>
          <t>A 12997-2022</t>
        </is>
      </c>
      <c r="B15" s="1" t="n">
        <v>44643</v>
      </c>
      <c r="C15" s="1" t="n">
        <v>46197</v>
      </c>
      <c r="D15" t="inlineStr">
        <is>
          <t>DALARNAS LÄN</t>
        </is>
      </c>
      <c r="E15" t="inlineStr">
        <is>
          <t>AVESTA</t>
        </is>
      </c>
      <c r="G15" t="n">
        <v>0.6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HYPERLINK("https://klasma.github.io/Logging_2084/artfynd/A 12997-2022 artfynd.xlsx", "A 12997-2022")</f>
        <v/>
      </c>
      <c r="T15">
        <f>HYPERLINK("https://klasma.github.io/Logging_2084/kartor/A 12997-2022 karta.png", "A 12997-2022")</f>
        <v/>
      </c>
      <c r="V15">
        <f>HYPERLINK("https://klasma.github.io/Logging_2084/klagomål/A 12997-2022 FSC-klagomål.docx", "A 12997-2022")</f>
        <v/>
      </c>
      <c r="W15">
        <f>HYPERLINK("https://klasma.github.io/Logging_2084/klagomålsmail/A 12997-2022 FSC-klagomål mail.docx", "A 12997-2022")</f>
        <v/>
      </c>
      <c r="X15">
        <f>HYPERLINK("https://klasma.github.io/Logging_2084/tillsyn/A 12997-2022 tillsynsbegäran.docx", "A 12997-2022")</f>
        <v/>
      </c>
      <c r="Y15">
        <f>HYPERLINK("https://klasma.github.io/Logging_2084/tillsynsmail/A 12997-2022 tillsynsbegäran mail.docx", "A 12997-2022")</f>
        <v/>
      </c>
      <c r="Z15">
        <f>HYPERLINK("https://klasma.github.io/Logging_2084/fåglar/A 12997-2022 prioriterade fågelarter.docx", "A 12997-2022")</f>
        <v/>
      </c>
    </row>
    <row r="16" ht="15" customHeight="1">
      <c r="A16" t="inlineStr">
        <is>
          <t>A 10943-2024</t>
        </is>
      </c>
      <c r="B16" s="1" t="n">
        <v>45370</v>
      </c>
      <c r="C16" s="1" t="n">
        <v>46197</v>
      </c>
      <c r="D16" t="inlineStr">
        <is>
          <t>DALARNAS LÄN</t>
        </is>
      </c>
      <c r="E16" t="inlineStr">
        <is>
          <t>AVESTA</t>
        </is>
      </c>
      <c r="G16" t="n">
        <v>8.5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HYPERLINK("https://klasma.github.io/Logging_2084/artfynd/A 10943-2024 artfynd.xlsx", "A 10943-2024")</f>
        <v/>
      </c>
      <c r="T16">
        <f>HYPERLINK("https://klasma.github.io/Logging_2084/kartor/A 10943-2024 karta.png", "A 10943-2024")</f>
        <v/>
      </c>
      <c r="V16">
        <f>HYPERLINK("https://klasma.github.io/Logging_2084/klagomål/A 10943-2024 FSC-klagomål.docx", "A 10943-2024")</f>
        <v/>
      </c>
      <c r="W16">
        <f>HYPERLINK("https://klasma.github.io/Logging_2084/klagomålsmail/A 10943-2024 FSC-klagomål mail.docx", "A 10943-2024")</f>
        <v/>
      </c>
      <c r="X16">
        <f>HYPERLINK("https://klasma.github.io/Logging_2084/tillsyn/A 10943-2024 tillsynsbegäran.docx", "A 10943-2024")</f>
        <v/>
      </c>
      <c r="Y16">
        <f>HYPERLINK("https://klasma.github.io/Logging_2084/tillsynsmail/A 10943-2024 tillsynsbegäran mail.docx", "A 10943-2024")</f>
        <v/>
      </c>
      <c r="Z16">
        <f>HYPERLINK("https://klasma.github.io/Logging_2084/fåglar/A 10943-2024 prioriterade fågelarter.docx", "A 10943-2024")</f>
        <v/>
      </c>
    </row>
    <row r="17" ht="15" customHeight="1">
      <c r="A17" t="inlineStr">
        <is>
          <t>A 25882-2025</t>
        </is>
      </c>
      <c r="B17" s="1" t="n">
        <v>45804</v>
      </c>
      <c r="C17" s="1" t="n">
        <v>46197</v>
      </c>
      <c r="D17" t="inlineStr">
        <is>
          <t>DALARNAS LÄN</t>
        </is>
      </c>
      <c r="E17" t="inlineStr">
        <is>
          <t>AVESTA</t>
        </is>
      </c>
      <c r="G17" t="n">
        <v>0.6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Fiskgjuse</t>
        </is>
      </c>
      <c r="S17">
        <f>HYPERLINK("https://klasma.github.io/Logging_2084/artfynd/A 25882-2025 artfynd.xlsx", "A 25882-2025")</f>
        <v/>
      </c>
      <c r="T17">
        <f>HYPERLINK("https://klasma.github.io/Logging_2084/kartor/A 25882-2025 karta.png", "A 25882-2025")</f>
        <v/>
      </c>
      <c r="V17">
        <f>HYPERLINK("https://klasma.github.io/Logging_2084/klagomål/A 25882-2025 FSC-klagomål.docx", "A 25882-2025")</f>
        <v/>
      </c>
      <c r="W17">
        <f>HYPERLINK("https://klasma.github.io/Logging_2084/klagomålsmail/A 25882-2025 FSC-klagomål mail.docx", "A 25882-2025")</f>
        <v/>
      </c>
      <c r="X17">
        <f>HYPERLINK("https://klasma.github.io/Logging_2084/tillsyn/A 25882-2025 tillsynsbegäran.docx", "A 25882-2025")</f>
        <v/>
      </c>
      <c r="Y17">
        <f>HYPERLINK("https://klasma.github.io/Logging_2084/tillsynsmail/A 25882-2025 tillsynsbegäran mail.docx", "A 25882-2025")</f>
        <v/>
      </c>
      <c r="Z17">
        <f>HYPERLINK("https://klasma.github.io/Logging_2084/fåglar/A 25882-2025 prioriterade fågelarter.docx", "A 25882-2025")</f>
        <v/>
      </c>
    </row>
    <row r="18" ht="15" customHeight="1">
      <c r="A18" t="inlineStr">
        <is>
          <t>A 17913-2025</t>
        </is>
      </c>
      <c r="B18" s="1" t="n">
        <v>45758</v>
      </c>
      <c r="C18" s="1" t="n">
        <v>46197</v>
      </c>
      <c r="D18" t="inlineStr">
        <is>
          <t>DALARNAS LÄN</t>
        </is>
      </c>
      <c r="E18" t="inlineStr">
        <is>
          <t>AVESTA</t>
        </is>
      </c>
      <c r="G18" t="n">
        <v>10.2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HYPERLINK("https://klasma.github.io/Logging_2084/artfynd/A 17913-2025 artfynd.xlsx", "A 17913-2025")</f>
        <v/>
      </c>
      <c r="T18">
        <f>HYPERLINK("https://klasma.github.io/Logging_2084/kartor/A 17913-2025 karta.png", "A 17913-2025")</f>
        <v/>
      </c>
      <c r="U18">
        <f>HYPERLINK("https://klasma.github.io/Logging_2084/knärot/A 17913-2025 karta knärot.png", "A 17913-2025")</f>
        <v/>
      </c>
      <c r="V18">
        <f>HYPERLINK("https://klasma.github.io/Logging_2084/klagomål/A 17913-2025 FSC-klagomål.docx", "A 17913-2025")</f>
        <v/>
      </c>
      <c r="W18">
        <f>HYPERLINK("https://klasma.github.io/Logging_2084/klagomålsmail/A 17913-2025 FSC-klagomål mail.docx", "A 17913-2025")</f>
        <v/>
      </c>
      <c r="X18">
        <f>HYPERLINK("https://klasma.github.io/Logging_2084/tillsyn/A 17913-2025 tillsynsbegäran.docx", "A 17913-2025")</f>
        <v/>
      </c>
      <c r="Y18">
        <f>HYPERLINK("https://klasma.github.io/Logging_2084/tillsynsmail/A 17913-2025 tillsynsbegäran mail.docx", "A 17913-2025")</f>
        <v/>
      </c>
    </row>
    <row r="19" ht="15" customHeight="1">
      <c r="A19" t="inlineStr">
        <is>
          <t>A 36007-2025</t>
        </is>
      </c>
      <c r="B19" s="1" t="n">
        <v>45863</v>
      </c>
      <c r="C19" s="1" t="n">
        <v>46197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15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HYPERLINK("https://klasma.github.io/Logging_2084/artfynd/A 36007-2025 artfynd.xlsx", "A 36007-2025")</f>
        <v/>
      </c>
      <c r="T19">
        <f>HYPERLINK("https://klasma.github.io/Logging_2084/kartor/A 36007-2025 karta.png", "A 36007-2025")</f>
        <v/>
      </c>
      <c r="V19">
        <f>HYPERLINK("https://klasma.github.io/Logging_2084/klagomål/A 36007-2025 FSC-klagomål.docx", "A 36007-2025")</f>
        <v/>
      </c>
      <c r="W19">
        <f>HYPERLINK("https://klasma.github.io/Logging_2084/klagomålsmail/A 36007-2025 FSC-klagomål mail.docx", "A 36007-2025")</f>
        <v/>
      </c>
      <c r="X19">
        <f>HYPERLINK("https://klasma.github.io/Logging_2084/tillsyn/A 36007-2025 tillsynsbegäran.docx", "A 36007-2025")</f>
        <v/>
      </c>
      <c r="Y19">
        <f>HYPERLINK("https://klasma.github.io/Logging_2084/tillsynsmail/A 36007-2025 tillsynsbegäran mail.docx", "A 36007-2025")</f>
        <v/>
      </c>
    </row>
    <row r="20" ht="15" customHeight="1">
      <c r="A20" t="inlineStr">
        <is>
          <t>A 36002-2025</t>
        </is>
      </c>
      <c r="B20" s="1" t="n">
        <v>45863</v>
      </c>
      <c r="C20" s="1" t="n">
        <v>46197</v>
      </c>
      <c r="D20" t="inlineStr">
        <is>
          <t>DALARNAS LÄN</t>
        </is>
      </c>
      <c r="E20" t="inlineStr">
        <is>
          <t>AVESTA</t>
        </is>
      </c>
      <c r="F20" t="inlineStr">
        <is>
          <t>Sveaskog</t>
        </is>
      </c>
      <c r="G20" t="n">
        <v>14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HYPERLINK("https://klasma.github.io/Logging_2084/artfynd/A 36002-2025 artfynd.xlsx", "A 36002-2025")</f>
        <v/>
      </c>
      <c r="T20">
        <f>HYPERLINK("https://klasma.github.io/Logging_2084/kartor/A 36002-2025 karta.png", "A 36002-2025")</f>
        <v/>
      </c>
      <c r="V20">
        <f>HYPERLINK("https://klasma.github.io/Logging_2084/klagomål/A 36002-2025 FSC-klagomål.docx", "A 36002-2025")</f>
        <v/>
      </c>
      <c r="W20">
        <f>HYPERLINK("https://klasma.github.io/Logging_2084/klagomålsmail/A 36002-2025 FSC-klagomål mail.docx", "A 36002-2025")</f>
        <v/>
      </c>
      <c r="X20">
        <f>HYPERLINK("https://klasma.github.io/Logging_2084/tillsyn/A 36002-2025 tillsynsbegäran.docx", "A 36002-2025")</f>
        <v/>
      </c>
      <c r="Y20">
        <f>HYPERLINK("https://klasma.github.io/Logging_2084/tillsynsmail/A 36002-2025 tillsynsbegäran mail.docx", "A 36002-2025")</f>
        <v/>
      </c>
    </row>
    <row r="21" ht="15" customHeight="1">
      <c r="A21" t="inlineStr">
        <is>
          <t>A 39253-2025</t>
        </is>
      </c>
      <c r="B21" s="1" t="n">
        <v>45889</v>
      </c>
      <c r="C21" s="1" t="n">
        <v>46197</v>
      </c>
      <c r="D21" t="inlineStr">
        <is>
          <t>DALARNAS LÄN</t>
        </is>
      </c>
      <c r="E21" t="inlineStr">
        <is>
          <t>AVESTA</t>
        </is>
      </c>
      <c r="F21" t="inlineStr">
        <is>
          <t>Sveaskog</t>
        </is>
      </c>
      <c r="G21" t="n">
        <v>10.2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Nordfladdermus</t>
        </is>
      </c>
      <c r="S21">
        <f>HYPERLINK("https://klasma.github.io/Logging_2084/artfynd/A 39253-2025 artfynd.xlsx", "A 39253-2025")</f>
        <v/>
      </c>
      <c r="T21">
        <f>HYPERLINK("https://klasma.github.io/Logging_2084/kartor/A 39253-2025 karta.png", "A 39253-2025")</f>
        <v/>
      </c>
      <c r="V21">
        <f>HYPERLINK("https://klasma.github.io/Logging_2084/klagomål/A 39253-2025 FSC-klagomål.docx", "A 39253-2025")</f>
        <v/>
      </c>
      <c r="W21">
        <f>HYPERLINK("https://klasma.github.io/Logging_2084/klagomålsmail/A 39253-2025 FSC-klagomål mail.docx", "A 39253-2025")</f>
        <v/>
      </c>
      <c r="X21">
        <f>HYPERLINK("https://klasma.github.io/Logging_2084/tillsyn/A 39253-2025 tillsynsbegäran.docx", "A 39253-2025")</f>
        <v/>
      </c>
      <c r="Y21">
        <f>HYPERLINK("https://klasma.github.io/Logging_2084/tillsynsmail/A 39253-2025 tillsynsbegäran mail.docx", "A 39253-2025")</f>
        <v/>
      </c>
    </row>
    <row r="22" ht="15" customHeight="1">
      <c r="A22" t="inlineStr">
        <is>
          <t>A 56786-2024</t>
        </is>
      </c>
      <c r="B22" s="1" t="n">
        <v>45628</v>
      </c>
      <c r="C22" s="1" t="n">
        <v>46197</v>
      </c>
      <c r="D22" t="inlineStr">
        <is>
          <t>DALARNAS LÄN</t>
        </is>
      </c>
      <c r="E22" t="inlineStr">
        <is>
          <t>AVESTA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HYPERLINK("https://klasma.github.io/Logging_2084/artfynd/A 56786-2024 artfynd.xlsx", "A 56786-2024")</f>
        <v/>
      </c>
      <c r="T22">
        <f>HYPERLINK("https://klasma.github.io/Logging_2084/kartor/A 56786-2024 karta.png", "A 56786-2024")</f>
        <v/>
      </c>
      <c r="U22">
        <f>HYPERLINK("https://klasma.github.io/Logging_2084/knärot/A 56786-2024 karta knärot.png", "A 56786-2024")</f>
        <v/>
      </c>
      <c r="V22">
        <f>HYPERLINK("https://klasma.github.io/Logging_2084/klagomål/A 56786-2024 FSC-klagomål.docx", "A 56786-2024")</f>
        <v/>
      </c>
      <c r="W22">
        <f>HYPERLINK("https://klasma.github.io/Logging_2084/klagomålsmail/A 56786-2024 FSC-klagomål mail.docx", "A 56786-2024")</f>
        <v/>
      </c>
      <c r="X22">
        <f>HYPERLINK("https://klasma.github.io/Logging_2084/tillsyn/A 56786-2024 tillsynsbegäran.docx", "A 56786-2024")</f>
        <v/>
      </c>
      <c r="Y22">
        <f>HYPERLINK("https://klasma.github.io/Logging_2084/tillsynsmail/A 56786-2024 tillsynsbegäran mail.docx", "A 56786-2024")</f>
        <v/>
      </c>
    </row>
    <row r="23" ht="15" customHeight="1">
      <c r="A23" t="inlineStr">
        <is>
          <t>A 60446-2025</t>
        </is>
      </c>
      <c r="B23" s="1" t="n">
        <v>45995</v>
      </c>
      <c r="C23" s="1" t="n">
        <v>46197</v>
      </c>
      <c r="D23" t="inlineStr">
        <is>
          <t>DALARNAS LÄN</t>
        </is>
      </c>
      <c r="E23" t="inlineStr">
        <is>
          <t>AVESTA</t>
        </is>
      </c>
      <c r="F23" t="inlineStr">
        <is>
          <t>Sveaskog</t>
        </is>
      </c>
      <c r="G23" t="n">
        <v>1.9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Ullticka</t>
        </is>
      </c>
      <c r="S23">
        <f>HYPERLINK("https://klasma.github.io/Logging_2084/artfynd/A 60446-2025 artfynd.xlsx", "A 60446-2025")</f>
        <v/>
      </c>
      <c r="T23">
        <f>HYPERLINK("https://klasma.github.io/Logging_2084/kartor/A 60446-2025 karta.png", "A 60446-2025")</f>
        <v/>
      </c>
      <c r="V23">
        <f>HYPERLINK("https://klasma.github.io/Logging_2084/klagomål/A 60446-2025 FSC-klagomål.docx", "A 60446-2025")</f>
        <v/>
      </c>
      <c r="W23">
        <f>HYPERLINK("https://klasma.github.io/Logging_2084/klagomålsmail/A 60446-2025 FSC-klagomål mail.docx", "A 60446-2025")</f>
        <v/>
      </c>
      <c r="X23">
        <f>HYPERLINK("https://klasma.github.io/Logging_2084/tillsyn/A 60446-2025 tillsynsbegäran.docx", "A 60446-2025")</f>
        <v/>
      </c>
      <c r="Y23">
        <f>HYPERLINK("https://klasma.github.io/Logging_2084/tillsynsmail/A 60446-2025 tillsynsbegäran mail.docx", "A 60446-2025")</f>
        <v/>
      </c>
    </row>
    <row r="24" ht="15" customHeight="1">
      <c r="A24" t="inlineStr">
        <is>
          <t>A 53814-2025</t>
        </is>
      </c>
      <c r="B24" s="1" t="n">
        <v>45961</v>
      </c>
      <c r="C24" s="1" t="n">
        <v>46197</v>
      </c>
      <c r="D24" t="inlineStr">
        <is>
          <t>DALARNAS LÄN</t>
        </is>
      </c>
      <c r="E24" t="inlineStr">
        <is>
          <t>AVESTA</t>
        </is>
      </c>
      <c r="G24" t="n">
        <v>2.1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HYPERLINK("https://klasma.github.io/Logging_2084/artfynd/A 53814-2025 artfynd.xlsx", "A 53814-2025")</f>
        <v/>
      </c>
      <c r="T24">
        <f>HYPERLINK("https://klasma.github.io/Logging_2084/kartor/A 53814-2025 karta.png", "A 53814-2025")</f>
        <v/>
      </c>
      <c r="V24">
        <f>HYPERLINK("https://klasma.github.io/Logging_2084/klagomål/A 53814-2025 FSC-klagomål.docx", "A 53814-2025")</f>
        <v/>
      </c>
      <c r="W24">
        <f>HYPERLINK("https://klasma.github.io/Logging_2084/klagomålsmail/A 53814-2025 FSC-klagomål mail.docx", "A 53814-2025")</f>
        <v/>
      </c>
      <c r="X24">
        <f>HYPERLINK("https://klasma.github.io/Logging_2084/tillsyn/A 53814-2025 tillsynsbegäran.docx", "A 53814-2025")</f>
        <v/>
      </c>
      <c r="Y24">
        <f>HYPERLINK("https://klasma.github.io/Logging_2084/tillsynsmail/A 53814-2025 tillsynsbegäran mail.docx", "A 53814-2025")</f>
        <v/>
      </c>
    </row>
    <row r="25" ht="15" customHeight="1">
      <c r="A25" t="inlineStr">
        <is>
          <t>A 1993-2026</t>
        </is>
      </c>
      <c r="B25" s="1" t="n">
        <v>46035</v>
      </c>
      <c r="C25" s="1" t="n">
        <v>46197</v>
      </c>
      <c r="D25" t="inlineStr">
        <is>
          <t>DALARNAS LÄN</t>
        </is>
      </c>
      <c r="E25" t="inlineStr">
        <is>
          <t>AVESTA</t>
        </is>
      </c>
      <c r="G25" t="n">
        <v>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HYPERLINK("https://klasma.github.io/Logging_2084/artfynd/A 1993-2026 artfynd.xlsx", "A 1993-2026")</f>
        <v/>
      </c>
      <c r="T25">
        <f>HYPERLINK("https://klasma.github.io/Logging_2084/kartor/A 1993-2026 karta.png", "A 1993-2026")</f>
        <v/>
      </c>
      <c r="V25">
        <f>HYPERLINK("https://klasma.github.io/Logging_2084/klagomål/A 1993-2026 FSC-klagomål.docx", "A 1993-2026")</f>
        <v/>
      </c>
      <c r="W25">
        <f>HYPERLINK("https://klasma.github.io/Logging_2084/klagomålsmail/A 1993-2026 FSC-klagomål mail.docx", "A 1993-2026")</f>
        <v/>
      </c>
      <c r="X25">
        <f>HYPERLINK("https://klasma.github.io/Logging_2084/tillsyn/A 1993-2026 tillsynsbegäran.docx", "A 1993-2026")</f>
        <v/>
      </c>
      <c r="Y25">
        <f>HYPERLINK("https://klasma.github.io/Logging_2084/tillsynsmail/A 1993-2026 tillsynsbegäran mail.docx", "A 1993-2026")</f>
        <v/>
      </c>
    </row>
    <row r="26" ht="15" customHeight="1">
      <c r="A26" t="inlineStr">
        <is>
          <t>A 15987-2026</t>
        </is>
      </c>
      <c r="B26" s="1" t="n">
        <v>46108</v>
      </c>
      <c r="C26" s="1" t="n">
        <v>46197</v>
      </c>
      <c r="D26" t="inlineStr">
        <is>
          <t>DALARNAS LÄN</t>
        </is>
      </c>
      <c r="E26" t="inlineStr">
        <is>
          <t>AVESTA</t>
        </is>
      </c>
      <c r="G26" t="n">
        <v>1.9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Lopplummer (aggregat)</t>
        </is>
      </c>
      <c r="S26">
        <f>HYPERLINK("https://klasma.github.io/Logging_2084/artfynd/A 15987-2026 artfynd.xlsx", "A 15987-2026")</f>
        <v/>
      </c>
      <c r="T26">
        <f>HYPERLINK("https://klasma.github.io/Logging_2084/kartor/A 15987-2026 karta.png", "A 15987-2026")</f>
        <v/>
      </c>
      <c r="V26">
        <f>HYPERLINK("https://klasma.github.io/Logging_2084/klagomål/A 15987-2026 FSC-klagomål.docx", "A 15987-2026")</f>
        <v/>
      </c>
      <c r="W26">
        <f>HYPERLINK("https://klasma.github.io/Logging_2084/klagomålsmail/A 15987-2026 FSC-klagomål mail.docx", "A 15987-2026")</f>
        <v/>
      </c>
      <c r="X26">
        <f>HYPERLINK("https://klasma.github.io/Logging_2084/tillsyn/A 15987-2026 tillsynsbegäran.docx", "A 15987-2026")</f>
        <v/>
      </c>
      <c r="Y26">
        <f>HYPERLINK("https://klasma.github.io/Logging_2084/tillsynsmail/A 15987-2026 tillsynsbegäran mail.docx", "A 15987-2026")</f>
        <v/>
      </c>
    </row>
    <row r="27" ht="15" customHeight="1">
      <c r="A27" t="inlineStr">
        <is>
          <t>A 43508-2024</t>
        </is>
      </c>
      <c r="B27" s="1" t="n">
        <v>45569</v>
      </c>
      <c r="C27" s="1" t="n">
        <v>46197</v>
      </c>
      <c r="D27" t="inlineStr">
        <is>
          <t>DALARNAS LÄN</t>
        </is>
      </c>
      <c r="E27" t="inlineStr">
        <is>
          <t>AVESTA</t>
        </is>
      </c>
      <c r="F27" t="inlineStr">
        <is>
          <t>Sveaskog</t>
        </is>
      </c>
      <c r="G27" t="n">
        <v>3.8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HYPERLINK("https://klasma.github.io/Logging_2084/artfynd/A 43508-2024 artfynd.xlsx", "A 43508-2024")</f>
        <v/>
      </c>
      <c r="T27">
        <f>HYPERLINK("https://klasma.github.io/Logging_2084/kartor/A 43508-2024 karta.png", "A 43508-2024")</f>
        <v/>
      </c>
      <c r="V27">
        <f>HYPERLINK("https://klasma.github.io/Logging_2084/klagomål/A 43508-2024 FSC-klagomål.docx", "A 43508-2024")</f>
        <v/>
      </c>
      <c r="W27">
        <f>HYPERLINK("https://klasma.github.io/Logging_2084/klagomålsmail/A 43508-2024 FSC-klagomål mail.docx", "A 43508-2024")</f>
        <v/>
      </c>
      <c r="X27">
        <f>HYPERLINK("https://klasma.github.io/Logging_2084/tillsyn/A 43508-2024 tillsynsbegäran.docx", "A 43508-2024")</f>
        <v/>
      </c>
      <c r="Y27">
        <f>HYPERLINK("https://klasma.github.io/Logging_2084/tillsynsmail/A 43508-2024 tillsynsbegäran mail.docx", "A 43508-2024")</f>
        <v/>
      </c>
    </row>
    <row r="28" ht="15" customHeight="1">
      <c r="A28" t="inlineStr">
        <is>
          <t>A 44853-2023</t>
        </is>
      </c>
      <c r="B28" s="1" t="n">
        <v>45190</v>
      </c>
      <c r="C28" s="1" t="n">
        <v>46197</v>
      </c>
      <c r="D28" t="inlineStr">
        <is>
          <t>DALARNAS LÄN</t>
        </is>
      </c>
      <c r="E28" t="inlineStr">
        <is>
          <t>AVESTA</t>
        </is>
      </c>
      <c r="G28" t="n">
        <v>1.8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Knytlingsäckmal</t>
        </is>
      </c>
      <c r="S28">
        <f>HYPERLINK("https://klasma.github.io/Logging_2084/artfynd/A 44853-2023 artfynd.xlsx", "A 44853-2023")</f>
        <v/>
      </c>
      <c r="T28">
        <f>HYPERLINK("https://klasma.github.io/Logging_2084/kartor/A 44853-2023 karta.png", "A 44853-2023")</f>
        <v/>
      </c>
      <c r="V28">
        <f>HYPERLINK("https://klasma.github.io/Logging_2084/klagomål/A 44853-2023 FSC-klagomål.docx", "A 44853-2023")</f>
        <v/>
      </c>
      <c r="W28">
        <f>HYPERLINK("https://klasma.github.io/Logging_2084/klagomålsmail/A 44853-2023 FSC-klagomål mail.docx", "A 44853-2023")</f>
        <v/>
      </c>
      <c r="X28">
        <f>HYPERLINK("https://klasma.github.io/Logging_2084/tillsyn/A 44853-2023 tillsynsbegäran.docx", "A 44853-2023")</f>
        <v/>
      </c>
      <c r="Y28">
        <f>HYPERLINK("https://klasma.github.io/Logging_2084/tillsynsmail/A 44853-2023 tillsynsbegäran mail.docx", "A 44853-2023")</f>
        <v/>
      </c>
    </row>
    <row r="29" ht="15" customHeight="1">
      <c r="A29" t="inlineStr">
        <is>
          <t>A 26787-2026</t>
        </is>
      </c>
      <c r="B29" s="1" t="n">
        <v>46183</v>
      </c>
      <c r="C29" s="1" t="n">
        <v>46197</v>
      </c>
      <c r="D29" t="inlineStr">
        <is>
          <t>DALARNAS LÄN</t>
        </is>
      </c>
      <c r="E29" t="inlineStr">
        <is>
          <t>AVESTA</t>
        </is>
      </c>
      <c r="G29" t="n">
        <v>1.8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Kungsfågel</t>
        </is>
      </c>
      <c r="S29">
        <f>HYPERLINK("https://klasma.github.io/Logging_2084/artfynd/A 26787-2026 artfynd.xlsx", "A 26787-2026")</f>
        <v/>
      </c>
      <c r="T29">
        <f>HYPERLINK("https://klasma.github.io/Logging_2084/kartor/A 26787-2026 karta.png", "A 26787-2026")</f>
        <v/>
      </c>
      <c r="V29">
        <f>HYPERLINK("https://klasma.github.io/Logging_2084/klagomål/A 26787-2026 FSC-klagomål.docx", "A 26787-2026")</f>
        <v/>
      </c>
      <c r="W29">
        <f>HYPERLINK("https://klasma.github.io/Logging_2084/klagomålsmail/A 26787-2026 FSC-klagomål mail.docx", "A 26787-2026")</f>
        <v/>
      </c>
      <c r="X29">
        <f>HYPERLINK("https://klasma.github.io/Logging_2084/tillsyn/A 26787-2026 tillsynsbegäran.docx", "A 26787-2026")</f>
        <v/>
      </c>
      <c r="Y29">
        <f>HYPERLINK("https://klasma.github.io/Logging_2084/tillsynsmail/A 26787-2026 tillsynsbegäran mail.docx", "A 26787-2026")</f>
        <v/>
      </c>
    </row>
    <row r="30" ht="15" customHeight="1">
      <c r="A30" t="inlineStr">
        <is>
          <t>A 56571-2023</t>
        </is>
      </c>
      <c r="B30" s="1" t="n">
        <v>45243</v>
      </c>
      <c r="C30" s="1" t="n">
        <v>46197</v>
      </c>
      <c r="D30" t="inlineStr">
        <is>
          <t>DALARNAS LÄN</t>
        </is>
      </c>
      <c r="E30" t="inlineStr">
        <is>
          <t>AVESTA</t>
        </is>
      </c>
      <c r="G30" t="n">
        <v>6.1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Gråblå skinnlav</t>
        </is>
      </c>
      <c r="S30">
        <f>HYPERLINK("https://klasma.github.io/Logging_2084/artfynd/A 56571-2023 artfynd.xlsx", "A 56571-2023")</f>
        <v/>
      </c>
      <c r="T30">
        <f>HYPERLINK("https://klasma.github.io/Logging_2084/kartor/A 56571-2023 karta.png", "A 56571-2023")</f>
        <v/>
      </c>
      <c r="V30">
        <f>HYPERLINK("https://klasma.github.io/Logging_2084/klagomål/A 56571-2023 FSC-klagomål.docx", "A 56571-2023")</f>
        <v/>
      </c>
      <c r="W30">
        <f>HYPERLINK("https://klasma.github.io/Logging_2084/klagomålsmail/A 56571-2023 FSC-klagomål mail.docx", "A 56571-2023")</f>
        <v/>
      </c>
      <c r="X30">
        <f>HYPERLINK("https://klasma.github.io/Logging_2084/tillsyn/A 56571-2023 tillsynsbegäran.docx", "A 56571-2023")</f>
        <v/>
      </c>
      <c r="Y30">
        <f>HYPERLINK("https://klasma.github.io/Logging_2084/tillsynsmail/A 56571-2023 tillsynsbegäran mail.docx", "A 56571-2023")</f>
        <v/>
      </c>
    </row>
    <row r="31" ht="15" customHeight="1">
      <c r="A31" t="inlineStr">
        <is>
          <t>A 1695-2022</t>
        </is>
      </c>
      <c r="B31" s="1" t="n">
        <v>44574</v>
      </c>
      <c r="C31" s="1" t="n">
        <v>46197</v>
      </c>
      <c r="D31" t="inlineStr">
        <is>
          <t>DALARNAS LÄN</t>
        </is>
      </c>
      <c r="E31" t="inlineStr">
        <is>
          <t>AVESTA</t>
        </is>
      </c>
      <c r="G31" t="n">
        <v>6.5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HYPERLINK("https://klasma.github.io/Logging_2084/artfynd/A 1695-2022 artfynd.xlsx", "A 1695-2022")</f>
        <v/>
      </c>
      <c r="T31">
        <f>HYPERLINK("https://klasma.github.io/Logging_2084/kartor/A 1695-2022 karta.png", "A 1695-2022")</f>
        <v/>
      </c>
      <c r="U31">
        <f>HYPERLINK("https://klasma.github.io/Logging_2084/knärot/A 1695-2022 karta knärot.png", "A 1695-2022")</f>
        <v/>
      </c>
      <c r="V31">
        <f>HYPERLINK("https://klasma.github.io/Logging_2084/klagomål/A 1695-2022 FSC-klagomål.docx", "A 1695-2022")</f>
        <v/>
      </c>
      <c r="W31">
        <f>HYPERLINK("https://klasma.github.io/Logging_2084/klagomålsmail/A 1695-2022 FSC-klagomål mail.docx", "A 1695-2022")</f>
        <v/>
      </c>
      <c r="X31">
        <f>HYPERLINK("https://klasma.github.io/Logging_2084/tillsyn/A 1695-2022 tillsynsbegäran.docx", "A 1695-2022")</f>
        <v/>
      </c>
      <c r="Y31">
        <f>HYPERLINK("https://klasma.github.io/Logging_2084/tillsynsmail/A 1695-2022 tillsynsbegäran mail.docx", "A 1695-2022")</f>
        <v/>
      </c>
    </row>
    <row r="32" ht="15" customHeight="1">
      <c r="A32" t="inlineStr">
        <is>
          <t>A 46175-2021</t>
        </is>
      </c>
      <c r="B32" s="1" t="n">
        <v>44442</v>
      </c>
      <c r="C32" s="1" t="n">
        <v>46197</v>
      </c>
      <c r="D32" t="inlineStr">
        <is>
          <t>DALARNAS LÄN</t>
        </is>
      </c>
      <c r="E32" t="inlineStr">
        <is>
          <t>AVESTA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52818-2021</t>
        </is>
      </c>
      <c r="B33" s="1" t="n">
        <v>44467</v>
      </c>
      <c r="C33" s="1" t="n">
        <v>46197</v>
      </c>
      <c r="D33" t="inlineStr">
        <is>
          <t>DALARNAS LÄN</t>
        </is>
      </c>
      <c r="E33" t="inlineStr">
        <is>
          <t>AVESTA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12994-2022</t>
        </is>
      </c>
      <c r="B34" s="1" t="n">
        <v>44643</v>
      </c>
      <c r="C34" s="1" t="n">
        <v>46197</v>
      </c>
      <c r="D34" t="inlineStr">
        <is>
          <t>DALARNAS LÄN</t>
        </is>
      </c>
      <c r="E34" t="inlineStr">
        <is>
          <t>AVESTA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23976-2022</t>
        </is>
      </c>
      <c r="B35" s="1" t="n">
        <v>44722</v>
      </c>
      <c r="C35" s="1" t="n">
        <v>46197</v>
      </c>
      <c r="D35" t="inlineStr">
        <is>
          <t>DALARNAS LÄN</t>
        </is>
      </c>
      <c r="E35" t="inlineStr">
        <is>
          <t>AVESTA</t>
        </is>
      </c>
      <c r="F35" t="inlineStr">
        <is>
          <t>Sveaskog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46221-2021</t>
        </is>
      </c>
      <c r="B36" s="1" t="n">
        <v>44442</v>
      </c>
      <c r="C36" s="1" t="n">
        <v>46197</v>
      </c>
      <c r="D36" t="inlineStr">
        <is>
          <t>DALARNAS LÄN</t>
        </is>
      </c>
      <c r="E36" t="inlineStr">
        <is>
          <t>AVESTA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42591-2022</t>
        </is>
      </c>
      <c r="B37" s="1" t="n">
        <v>44831</v>
      </c>
      <c r="C37" s="1" t="n">
        <v>46197</v>
      </c>
      <c r="D37" t="inlineStr">
        <is>
          <t>DALARNAS LÄN</t>
        </is>
      </c>
      <c r="E37" t="inlineStr">
        <is>
          <t>AVESTA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42326-2021</t>
        </is>
      </c>
      <c r="B38" s="1" t="n">
        <v>44427</v>
      </c>
      <c r="C38" s="1" t="n">
        <v>46197</v>
      </c>
      <c r="D38" t="inlineStr">
        <is>
          <t>DALARNAS LÄN</t>
        </is>
      </c>
      <c r="E38" t="inlineStr">
        <is>
          <t>AVESTA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28403-2022</t>
        </is>
      </c>
      <c r="B39" s="1" t="n">
        <v>44747</v>
      </c>
      <c r="C39" s="1" t="n">
        <v>46197</v>
      </c>
      <c r="D39" t="inlineStr">
        <is>
          <t>DALARNAS LÄN</t>
        </is>
      </c>
      <c r="E39" t="inlineStr">
        <is>
          <t>AVESTA</t>
        </is>
      </c>
      <c r="G39" t="n">
        <v>9.4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32258-2021</t>
        </is>
      </c>
      <c r="B40" s="1" t="n">
        <v>44371</v>
      </c>
      <c r="C40" s="1" t="n">
        <v>46197</v>
      </c>
      <c r="D40" t="inlineStr">
        <is>
          <t>DALARNAS LÄN</t>
        </is>
      </c>
      <c r="E40" t="inlineStr">
        <is>
          <t>AVESTA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56171-2021</t>
        </is>
      </c>
      <c r="B41" s="1" t="n">
        <v>44477</v>
      </c>
      <c r="C41" s="1" t="n">
        <v>46197</v>
      </c>
      <c r="D41" t="inlineStr">
        <is>
          <t>DALARNAS LÄN</t>
        </is>
      </c>
      <c r="E41" t="inlineStr">
        <is>
          <t>AVESTA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45606-2021</t>
        </is>
      </c>
      <c r="B42" s="1" t="n">
        <v>44440</v>
      </c>
      <c r="C42" s="1" t="n">
        <v>46197</v>
      </c>
      <c r="D42" t="inlineStr">
        <is>
          <t>DALARNAS LÄN</t>
        </is>
      </c>
      <c r="E42" t="inlineStr">
        <is>
          <t>AVESTA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65738-2021</t>
        </is>
      </c>
      <c r="B43" s="1" t="n">
        <v>44516</v>
      </c>
      <c r="C43" s="1" t="n">
        <v>46197</v>
      </c>
      <c r="D43" t="inlineStr">
        <is>
          <t>DALARNAS LÄN</t>
        </is>
      </c>
      <c r="E43" t="inlineStr">
        <is>
          <t>AVESTA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42837-2022</t>
        </is>
      </c>
      <c r="B44" s="1" t="n">
        <v>44832</v>
      </c>
      <c r="C44" s="1" t="n">
        <v>46197</v>
      </c>
      <c r="D44" t="inlineStr">
        <is>
          <t>DALARNAS LÄN</t>
        </is>
      </c>
      <c r="E44" t="inlineStr">
        <is>
          <t>AVESTA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1977-2022</t>
        </is>
      </c>
      <c r="B45" s="1" t="n">
        <v>44575</v>
      </c>
      <c r="C45" s="1" t="n">
        <v>46197</v>
      </c>
      <c r="D45" t="inlineStr">
        <is>
          <t>DALARNAS LÄN</t>
        </is>
      </c>
      <c r="E45" t="inlineStr">
        <is>
          <t>AVESTA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44133-2022</t>
        </is>
      </c>
      <c r="B46" s="1" t="n">
        <v>44839</v>
      </c>
      <c r="C46" s="1" t="n">
        <v>46197</v>
      </c>
      <c r="D46" t="inlineStr">
        <is>
          <t>DALARNAS LÄN</t>
        </is>
      </c>
      <c r="E46" t="inlineStr">
        <is>
          <t>AVESTA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28403-2022</t>
        </is>
      </c>
      <c r="B47" s="1" t="n">
        <v>44747</v>
      </c>
      <c r="C47" s="1" t="n">
        <v>46197</v>
      </c>
      <c r="D47" t="inlineStr">
        <is>
          <t>DALARNAS LÄN</t>
        </is>
      </c>
      <c r="E47" t="inlineStr">
        <is>
          <t>AVESTA</t>
        </is>
      </c>
      <c r="G47" t="n">
        <v>6.3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64768-2021</t>
        </is>
      </c>
      <c r="B48" s="1" t="n">
        <v>44512</v>
      </c>
      <c r="C48" s="1" t="n">
        <v>46197</v>
      </c>
      <c r="D48" t="inlineStr">
        <is>
          <t>DALARNAS LÄN</t>
        </is>
      </c>
      <c r="E48" t="inlineStr">
        <is>
          <t>AVESTA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49392-2021</t>
        </is>
      </c>
      <c r="B49" s="1" t="n">
        <v>44454</v>
      </c>
      <c r="C49" s="1" t="n">
        <v>46197</v>
      </c>
      <c r="D49" t="inlineStr">
        <is>
          <t>DALARNAS LÄN</t>
        </is>
      </c>
      <c r="E49" t="inlineStr">
        <is>
          <t>AVESTA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42735-2021</t>
        </is>
      </c>
      <c r="B50" s="1" t="n">
        <v>44428</v>
      </c>
      <c r="C50" s="1" t="n">
        <v>46197</v>
      </c>
      <c r="D50" t="inlineStr">
        <is>
          <t>DALARNAS LÄN</t>
        </is>
      </c>
      <c r="E50" t="inlineStr">
        <is>
          <t>AVESTA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39164-2021</t>
        </is>
      </c>
      <c r="B51" s="1" t="n">
        <v>44412</v>
      </c>
      <c r="C51" s="1" t="n">
        <v>46197</v>
      </c>
      <c r="D51" t="inlineStr">
        <is>
          <t>DALARNAS LÄN</t>
        </is>
      </c>
      <c r="E51" t="inlineStr">
        <is>
          <t>AVESTA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32613-2021</t>
        </is>
      </c>
      <c r="B52" s="1" t="n">
        <v>44375</v>
      </c>
      <c r="C52" s="1" t="n">
        <v>46197</v>
      </c>
      <c r="D52" t="inlineStr">
        <is>
          <t>DALARNAS LÄN</t>
        </is>
      </c>
      <c r="E52" t="inlineStr">
        <is>
          <t>AVESTA</t>
        </is>
      </c>
      <c r="G52" t="n">
        <v>12.1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62130-2023</t>
        </is>
      </c>
      <c r="B53" s="1" t="n">
        <v>45267</v>
      </c>
      <c r="C53" s="1" t="n">
        <v>46197</v>
      </c>
      <c r="D53" t="inlineStr">
        <is>
          <t>DALARNAS LÄN</t>
        </is>
      </c>
      <c r="E53" t="inlineStr">
        <is>
          <t>AVESTA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30862-2024</t>
        </is>
      </c>
      <c r="B54" s="1" t="n">
        <v>45497</v>
      </c>
      <c r="C54" s="1" t="n">
        <v>46197</v>
      </c>
      <c r="D54" t="inlineStr">
        <is>
          <t>DALARNAS LÄN</t>
        </is>
      </c>
      <c r="E54" t="inlineStr">
        <is>
          <t>AVESTA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14023-2023</t>
        </is>
      </c>
      <c r="B55" s="1" t="n">
        <v>45007</v>
      </c>
      <c r="C55" s="1" t="n">
        <v>46197</v>
      </c>
      <c r="D55" t="inlineStr">
        <is>
          <t>DALARNAS LÄN</t>
        </is>
      </c>
      <c r="E55" t="inlineStr">
        <is>
          <t>AVESTA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25960-2022</t>
        </is>
      </c>
      <c r="B56" s="1" t="n">
        <v>44734</v>
      </c>
      <c r="C56" s="1" t="n">
        <v>46197</v>
      </c>
      <c r="D56" t="inlineStr">
        <is>
          <t>DALARNAS LÄN</t>
        </is>
      </c>
      <c r="E56" t="inlineStr">
        <is>
          <t>AVESTA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53119-2022</t>
        </is>
      </c>
      <c r="B57" s="1" t="n">
        <v>44876</v>
      </c>
      <c r="C57" s="1" t="n">
        <v>46197</v>
      </c>
      <c r="D57" t="inlineStr">
        <is>
          <t>DALARNAS LÄN</t>
        </is>
      </c>
      <c r="E57" t="inlineStr">
        <is>
          <t>AVESTA</t>
        </is>
      </c>
      <c r="F57" t="inlineStr">
        <is>
          <t>Kyrkan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50900-2022</t>
        </is>
      </c>
      <c r="B58" s="1" t="n">
        <v>44865</v>
      </c>
      <c r="C58" s="1" t="n">
        <v>46197</v>
      </c>
      <c r="D58" t="inlineStr">
        <is>
          <t>DALARNAS LÄN</t>
        </is>
      </c>
      <c r="E58" t="inlineStr">
        <is>
          <t>AVESTA</t>
        </is>
      </c>
      <c r="G58" t="n">
        <v>14.8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34190-2023</t>
        </is>
      </c>
      <c r="B59" s="1" t="n">
        <v>45138</v>
      </c>
      <c r="C59" s="1" t="n">
        <v>46197</v>
      </c>
      <c r="D59" t="inlineStr">
        <is>
          <t>DALARNAS LÄN</t>
        </is>
      </c>
      <c r="E59" t="inlineStr">
        <is>
          <t>AVESTA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10784-2024</t>
        </is>
      </c>
      <c r="B60" s="1" t="n">
        <v>45369</v>
      </c>
      <c r="C60" s="1" t="n">
        <v>46197</v>
      </c>
      <c r="D60" t="inlineStr">
        <is>
          <t>DALARNAS LÄN</t>
        </is>
      </c>
      <c r="E60" t="inlineStr">
        <is>
          <t>AVESTA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21534-2024</t>
        </is>
      </c>
      <c r="B61" s="1" t="n">
        <v>45441</v>
      </c>
      <c r="C61" s="1" t="n">
        <v>46197</v>
      </c>
      <c r="D61" t="inlineStr">
        <is>
          <t>DALARNAS LÄN</t>
        </is>
      </c>
      <c r="E61" t="inlineStr">
        <is>
          <t>AVESTA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44710-2021</t>
        </is>
      </c>
      <c r="B62" s="1" t="n">
        <v>44438</v>
      </c>
      <c r="C62" s="1" t="n">
        <v>46197</v>
      </c>
      <c r="D62" t="inlineStr">
        <is>
          <t>DALARNAS LÄN</t>
        </is>
      </c>
      <c r="E62" t="inlineStr">
        <is>
          <t>AVESTA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27344-2024</t>
        </is>
      </c>
      <c r="B63" s="1" t="n">
        <v>45473</v>
      </c>
      <c r="C63" s="1" t="n">
        <v>46197</v>
      </c>
      <c r="D63" t="inlineStr">
        <is>
          <t>DALARNAS LÄN</t>
        </is>
      </c>
      <c r="E63" t="inlineStr">
        <is>
          <t>AVESTA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39219-2024</t>
        </is>
      </c>
      <c r="B64" s="1" t="n">
        <v>45549</v>
      </c>
      <c r="C64" s="1" t="n">
        <v>46197</v>
      </c>
      <c r="D64" t="inlineStr">
        <is>
          <t>DALARNAS LÄN</t>
        </is>
      </c>
      <c r="E64" t="inlineStr">
        <is>
          <t>AVESTA</t>
        </is>
      </c>
      <c r="F64" t="inlineStr">
        <is>
          <t>Sveaskog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22629-2024</t>
        </is>
      </c>
      <c r="B65" s="1" t="n">
        <v>45447</v>
      </c>
      <c r="C65" s="1" t="n">
        <v>46197</v>
      </c>
      <c r="D65" t="inlineStr">
        <is>
          <t>DALARNAS LÄN</t>
        </is>
      </c>
      <c r="E65" t="inlineStr">
        <is>
          <t>AVESTA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23500-2024</t>
        </is>
      </c>
      <c r="B66" s="1" t="n">
        <v>45453</v>
      </c>
      <c r="C66" s="1" t="n">
        <v>46197</v>
      </c>
      <c r="D66" t="inlineStr">
        <is>
          <t>DALARNAS LÄN</t>
        </is>
      </c>
      <c r="E66" t="inlineStr">
        <is>
          <t>AVESTA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10899-2024</t>
        </is>
      </c>
      <c r="B67" s="1" t="n">
        <v>45370</v>
      </c>
      <c r="C67" s="1" t="n">
        <v>46197</v>
      </c>
      <c r="D67" t="inlineStr">
        <is>
          <t>DALARNAS LÄN</t>
        </is>
      </c>
      <c r="E67" t="inlineStr">
        <is>
          <t>AVESTA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16690-2024</t>
        </is>
      </c>
      <c r="B68" s="1" t="n">
        <v>45408</v>
      </c>
      <c r="C68" s="1" t="n">
        <v>46197</v>
      </c>
      <c r="D68" t="inlineStr">
        <is>
          <t>DALARNAS LÄN</t>
        </is>
      </c>
      <c r="E68" t="inlineStr">
        <is>
          <t>AVESTA</t>
        </is>
      </c>
      <c r="F68" t="inlineStr">
        <is>
          <t>Bergvik skog väst AB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43767-2021</t>
        </is>
      </c>
      <c r="B69" s="1" t="n">
        <v>44433</v>
      </c>
      <c r="C69" s="1" t="n">
        <v>46197</v>
      </c>
      <c r="D69" t="inlineStr">
        <is>
          <t>DALARNAS LÄN</t>
        </is>
      </c>
      <c r="E69" t="inlineStr">
        <is>
          <t>AVESTA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56464-2022</t>
        </is>
      </c>
      <c r="B70" s="1" t="n">
        <v>44893</v>
      </c>
      <c r="C70" s="1" t="n">
        <v>46197</v>
      </c>
      <c r="D70" t="inlineStr">
        <is>
          <t>DALARNAS LÄN</t>
        </is>
      </c>
      <c r="E70" t="inlineStr">
        <is>
          <t>AVESTA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64561-2023</t>
        </is>
      </c>
      <c r="B71" s="1" t="n">
        <v>45281</v>
      </c>
      <c r="C71" s="1" t="n">
        <v>46197</v>
      </c>
      <c r="D71" t="inlineStr">
        <is>
          <t>DALARNAS LÄN</t>
        </is>
      </c>
      <c r="E71" t="inlineStr">
        <is>
          <t>AVESTA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15361-2023</t>
        </is>
      </c>
      <c r="B72" s="1" t="n">
        <v>45019</v>
      </c>
      <c r="C72" s="1" t="n">
        <v>46197</v>
      </c>
      <c r="D72" t="inlineStr">
        <is>
          <t>DALARNAS LÄN</t>
        </is>
      </c>
      <c r="E72" t="inlineStr">
        <is>
          <t>AVESTA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44474-2022</t>
        </is>
      </c>
      <c r="B73" s="1" t="n">
        <v>44840</v>
      </c>
      <c r="C73" s="1" t="n">
        <v>46197</v>
      </c>
      <c r="D73" t="inlineStr">
        <is>
          <t>DALARNAS LÄN</t>
        </is>
      </c>
      <c r="E73" t="inlineStr">
        <is>
          <t>AVESTA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30737-2024</t>
        </is>
      </c>
      <c r="B74" s="1" t="n">
        <v>45496</v>
      </c>
      <c r="C74" s="1" t="n">
        <v>46197</v>
      </c>
      <c r="D74" t="inlineStr">
        <is>
          <t>DALARNAS LÄN</t>
        </is>
      </c>
      <c r="E74" t="inlineStr">
        <is>
          <t>AVESTA</t>
        </is>
      </c>
      <c r="F74" t="inlineStr">
        <is>
          <t>Sveaskog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30738-2024</t>
        </is>
      </c>
      <c r="B75" s="1" t="n">
        <v>45496</v>
      </c>
      <c r="C75" s="1" t="n">
        <v>46197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25646-2025</t>
        </is>
      </c>
      <c r="B76" s="1" t="n">
        <v>45803</v>
      </c>
      <c r="C76" s="1" t="n">
        <v>46197</v>
      </c>
      <c r="D76" t="inlineStr">
        <is>
          <t>DALARNAS LÄN</t>
        </is>
      </c>
      <c r="E76" t="inlineStr">
        <is>
          <t>AVESTA</t>
        </is>
      </c>
      <c r="G76" t="n">
        <v>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64102-2025</t>
        </is>
      </c>
      <c r="B77" s="1" t="n">
        <v>46021</v>
      </c>
      <c r="C77" s="1" t="n">
        <v>46197</v>
      </c>
      <c r="D77" t="inlineStr">
        <is>
          <t>DALARNAS LÄN</t>
        </is>
      </c>
      <c r="E77" t="inlineStr">
        <is>
          <t>AVESTA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25658-2025</t>
        </is>
      </c>
      <c r="B78" s="1" t="n">
        <v>45803</v>
      </c>
      <c r="C78" s="1" t="n">
        <v>46197</v>
      </c>
      <c r="D78" t="inlineStr">
        <is>
          <t>DALARNAS LÄN</t>
        </is>
      </c>
      <c r="E78" t="inlineStr">
        <is>
          <t>AVESTA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61657-2023</t>
        </is>
      </c>
      <c r="B79" s="1" t="n">
        <v>45265</v>
      </c>
      <c r="C79" s="1" t="n">
        <v>46197</v>
      </c>
      <c r="D79" t="inlineStr">
        <is>
          <t>DALARNAS LÄN</t>
        </is>
      </c>
      <c r="E79" t="inlineStr">
        <is>
          <t>AVESTA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41729-2024</t>
        </is>
      </c>
      <c r="B80" s="1" t="n">
        <v>45560</v>
      </c>
      <c r="C80" s="1" t="n">
        <v>46197</v>
      </c>
      <c r="D80" t="inlineStr">
        <is>
          <t>DALARNAS LÄN</t>
        </is>
      </c>
      <c r="E80" t="inlineStr">
        <is>
          <t>AVESTA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3412-2026</t>
        </is>
      </c>
      <c r="B81" s="1" t="n">
        <v>46042</v>
      </c>
      <c r="C81" s="1" t="n">
        <v>46197</v>
      </c>
      <c r="D81" t="inlineStr">
        <is>
          <t>DALARNAS LÄN</t>
        </is>
      </c>
      <c r="E81" t="inlineStr">
        <is>
          <t>AVESTA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28361-2025</t>
        </is>
      </c>
      <c r="B82" s="1" t="n">
        <v>45818</v>
      </c>
      <c r="C82" s="1" t="n">
        <v>46197</v>
      </c>
      <c r="D82" t="inlineStr">
        <is>
          <t>DALARNAS LÄN</t>
        </is>
      </c>
      <c r="E82" t="inlineStr">
        <is>
          <t>AVESTA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40750-2025</t>
        </is>
      </c>
      <c r="B83" s="1" t="n">
        <v>45897</v>
      </c>
      <c r="C83" s="1" t="n">
        <v>46197</v>
      </c>
      <c r="D83" t="inlineStr">
        <is>
          <t>DALARNAS LÄN</t>
        </is>
      </c>
      <c r="E83" t="inlineStr">
        <is>
          <t>AVESTA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40761-2025</t>
        </is>
      </c>
      <c r="B84" s="1" t="n">
        <v>45897</v>
      </c>
      <c r="C84" s="1" t="n">
        <v>46197</v>
      </c>
      <c r="D84" t="inlineStr">
        <is>
          <t>DALARNAS LÄN</t>
        </is>
      </c>
      <c r="E84" t="inlineStr">
        <is>
          <t>AVESTA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40711-2025</t>
        </is>
      </c>
      <c r="B85" s="1" t="n">
        <v>45897</v>
      </c>
      <c r="C85" s="1" t="n">
        <v>46197</v>
      </c>
      <c r="D85" t="inlineStr">
        <is>
          <t>DALARNAS LÄN</t>
        </is>
      </c>
      <c r="E85" t="inlineStr">
        <is>
          <t>AVESTA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40710-2025</t>
        </is>
      </c>
      <c r="B86" s="1" t="n">
        <v>45897</v>
      </c>
      <c r="C86" s="1" t="n">
        <v>46197</v>
      </c>
      <c r="D86" t="inlineStr">
        <is>
          <t>DALARNAS LÄN</t>
        </is>
      </c>
      <c r="E86" t="inlineStr">
        <is>
          <t>AVESTA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2808-2022</t>
        </is>
      </c>
      <c r="B87" s="1" t="n">
        <v>44581</v>
      </c>
      <c r="C87" s="1" t="n">
        <v>46197</v>
      </c>
      <c r="D87" t="inlineStr">
        <is>
          <t>DALARNAS LÄN</t>
        </is>
      </c>
      <c r="E87" t="inlineStr">
        <is>
          <t>AVESTA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40755-2025</t>
        </is>
      </c>
      <c r="B88" s="1" t="n">
        <v>45897</v>
      </c>
      <c r="C88" s="1" t="n">
        <v>46197</v>
      </c>
      <c r="D88" t="inlineStr">
        <is>
          <t>DALARNAS LÄN</t>
        </is>
      </c>
      <c r="E88" t="inlineStr">
        <is>
          <t>AVESTA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23439-2025</t>
        </is>
      </c>
      <c r="B89" s="1" t="n">
        <v>45792</v>
      </c>
      <c r="C89" s="1" t="n">
        <v>46197</v>
      </c>
      <c r="D89" t="inlineStr">
        <is>
          <t>DALARNAS LÄN</t>
        </is>
      </c>
      <c r="E89" t="inlineStr">
        <is>
          <t>AVESTA</t>
        </is>
      </c>
      <c r="F89" t="inlineStr">
        <is>
          <t>Sveaskog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61483-2023</t>
        </is>
      </c>
      <c r="B90" s="1" t="n">
        <v>45264</v>
      </c>
      <c r="C90" s="1" t="n">
        <v>46197</v>
      </c>
      <c r="D90" t="inlineStr">
        <is>
          <t>DALARNAS LÄN</t>
        </is>
      </c>
      <c r="E90" t="inlineStr">
        <is>
          <t>AVESTA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10957-2024</t>
        </is>
      </c>
      <c r="B91" s="1" t="n">
        <v>45370</v>
      </c>
      <c r="C91" s="1" t="n">
        <v>46197</v>
      </c>
      <c r="D91" t="inlineStr">
        <is>
          <t>DALARNAS LÄN</t>
        </is>
      </c>
      <c r="E91" t="inlineStr">
        <is>
          <t>AVESTA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59679-2024</t>
        </is>
      </c>
      <c r="B92" s="1" t="n">
        <v>45639</v>
      </c>
      <c r="C92" s="1" t="n">
        <v>46197</v>
      </c>
      <c r="D92" t="inlineStr">
        <is>
          <t>DALARNAS LÄN</t>
        </is>
      </c>
      <c r="E92" t="inlineStr">
        <is>
          <t>AVESTA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42072-2025</t>
        </is>
      </c>
      <c r="B93" s="1" t="n">
        <v>45903</v>
      </c>
      <c r="C93" s="1" t="n">
        <v>46197</v>
      </c>
      <c r="D93" t="inlineStr">
        <is>
          <t>DALARNAS LÄN</t>
        </is>
      </c>
      <c r="E93" t="inlineStr">
        <is>
          <t>AVESTA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43172-2025</t>
        </is>
      </c>
      <c r="B94" s="1" t="n">
        <v>45910</v>
      </c>
      <c r="C94" s="1" t="n">
        <v>46197</v>
      </c>
      <c r="D94" t="inlineStr">
        <is>
          <t>DALARNAS LÄN</t>
        </is>
      </c>
      <c r="E94" t="inlineStr">
        <is>
          <t>AVESTA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43361-2025</t>
        </is>
      </c>
      <c r="B95" s="1" t="n">
        <v>45911</v>
      </c>
      <c r="C95" s="1" t="n">
        <v>46197</v>
      </c>
      <c r="D95" t="inlineStr">
        <is>
          <t>DALARNAS LÄN</t>
        </is>
      </c>
      <c r="E95" t="inlineStr">
        <is>
          <t>AVESTA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46670-2024</t>
        </is>
      </c>
      <c r="B96" s="1" t="n">
        <v>45583</v>
      </c>
      <c r="C96" s="1" t="n">
        <v>46197</v>
      </c>
      <c r="D96" t="inlineStr">
        <is>
          <t>DALARNAS LÄN</t>
        </is>
      </c>
      <c r="E96" t="inlineStr">
        <is>
          <t>AVESTA</t>
        </is>
      </c>
      <c r="F96" t="inlineStr">
        <is>
          <t>Sveaskog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46676-2024</t>
        </is>
      </c>
      <c r="B97" s="1" t="n">
        <v>45583</v>
      </c>
      <c r="C97" s="1" t="n">
        <v>46197</v>
      </c>
      <c r="D97" t="inlineStr">
        <is>
          <t>DALARNAS LÄN</t>
        </is>
      </c>
      <c r="E97" t="inlineStr">
        <is>
          <t>AVESTA</t>
        </is>
      </c>
      <c r="F97" t="inlineStr">
        <is>
          <t>Sveaskog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32720-2024</t>
        </is>
      </c>
      <c r="B98" s="1" t="n">
        <v>45514</v>
      </c>
      <c r="C98" s="1" t="n">
        <v>46197</v>
      </c>
      <c r="D98" t="inlineStr">
        <is>
          <t>DALARNAS LÄN</t>
        </is>
      </c>
      <c r="E98" t="inlineStr">
        <is>
          <t>AVESTA</t>
        </is>
      </c>
      <c r="F98" t="inlineStr">
        <is>
          <t>Bergvik skog väst AB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45180-2025</t>
        </is>
      </c>
      <c r="B99" s="1" t="n">
        <v>45919</v>
      </c>
      <c r="C99" s="1" t="n">
        <v>46197</v>
      </c>
      <c r="D99" t="inlineStr">
        <is>
          <t>DALARNAS LÄN</t>
        </is>
      </c>
      <c r="E99" t="inlineStr">
        <is>
          <t>AVESTA</t>
        </is>
      </c>
      <c r="F99" t="inlineStr">
        <is>
          <t>Sveaskog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45503-2025</t>
        </is>
      </c>
      <c r="B100" s="1" t="n">
        <v>45922</v>
      </c>
      <c r="C100" s="1" t="n">
        <v>46197</v>
      </c>
      <c r="D100" t="inlineStr">
        <is>
          <t>DALARNAS LÄN</t>
        </is>
      </c>
      <c r="E100" t="inlineStr">
        <is>
          <t>AVESTA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8360-2025</t>
        </is>
      </c>
      <c r="B101" s="1" t="n">
        <v>45708</v>
      </c>
      <c r="C101" s="1" t="n">
        <v>46197</v>
      </c>
      <c r="D101" t="inlineStr">
        <is>
          <t>DALARNAS LÄN</t>
        </is>
      </c>
      <c r="E101" t="inlineStr">
        <is>
          <t>AVESTA</t>
        </is>
      </c>
      <c r="G101" t="n">
        <v>7.4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13922-2022</t>
        </is>
      </c>
      <c r="B102" s="1" t="n">
        <v>44650</v>
      </c>
      <c r="C102" s="1" t="n">
        <v>46197</v>
      </c>
      <c r="D102" t="inlineStr">
        <is>
          <t>DALARNAS LÄN</t>
        </is>
      </c>
      <c r="E102" t="inlineStr">
        <is>
          <t>AVESTA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26516-2022</t>
        </is>
      </c>
      <c r="B103" s="1" t="n">
        <v>44739</v>
      </c>
      <c r="C103" s="1" t="n">
        <v>46197</v>
      </c>
      <c r="D103" t="inlineStr">
        <is>
          <t>DALARNAS LÄN</t>
        </is>
      </c>
      <c r="E103" t="inlineStr">
        <is>
          <t>AVESTA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43086-2023</t>
        </is>
      </c>
      <c r="B104" s="1" t="n">
        <v>45182</v>
      </c>
      <c r="C104" s="1" t="n">
        <v>46197</v>
      </c>
      <c r="D104" t="inlineStr">
        <is>
          <t>DALARNAS LÄN</t>
        </is>
      </c>
      <c r="E104" t="inlineStr">
        <is>
          <t>AVESTA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23308-2024</t>
        </is>
      </c>
      <c r="B105" s="1" t="n">
        <v>45453</v>
      </c>
      <c r="C105" s="1" t="n">
        <v>46197</v>
      </c>
      <c r="D105" t="inlineStr">
        <is>
          <t>DALARNAS LÄN</t>
        </is>
      </c>
      <c r="E105" t="inlineStr">
        <is>
          <t>AVESTA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47026-2025</t>
        </is>
      </c>
      <c r="B106" s="1" t="n">
        <v>45929</v>
      </c>
      <c r="C106" s="1" t="n">
        <v>46197</v>
      </c>
      <c r="D106" t="inlineStr">
        <is>
          <t>DALARNAS LÄN</t>
        </is>
      </c>
      <c r="E106" t="inlineStr">
        <is>
          <t>AVESTA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36004-2025</t>
        </is>
      </c>
      <c r="B107" s="1" t="n">
        <v>45863</v>
      </c>
      <c r="C107" s="1" t="n">
        <v>46197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14.1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4901-2026</t>
        </is>
      </c>
      <c r="B108" s="1" t="n">
        <v>46045</v>
      </c>
      <c r="C108" s="1" t="n">
        <v>46197</v>
      </c>
      <c r="D108" t="inlineStr">
        <is>
          <t>DALARNAS LÄN</t>
        </is>
      </c>
      <c r="E108" t="inlineStr">
        <is>
          <t>AVESTA</t>
        </is>
      </c>
      <c r="F108" t="inlineStr">
        <is>
          <t>Bergvik skog väst AB</t>
        </is>
      </c>
      <c r="G108" t="n">
        <v>12.1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36003-2025</t>
        </is>
      </c>
      <c r="B109" s="1" t="n">
        <v>45863</v>
      </c>
      <c r="C109" s="1" t="n">
        <v>46197</v>
      </c>
      <c r="D109" t="inlineStr">
        <is>
          <t>DALARNAS LÄN</t>
        </is>
      </c>
      <c r="E109" t="inlineStr">
        <is>
          <t>AVESTA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6971-2023</t>
        </is>
      </c>
      <c r="B110" s="1" t="n">
        <v>44967</v>
      </c>
      <c r="C110" s="1" t="n">
        <v>46197</v>
      </c>
      <c r="D110" t="inlineStr">
        <is>
          <t>DALARNAS LÄN</t>
        </is>
      </c>
      <c r="E110" t="inlineStr">
        <is>
          <t>AVESTA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36005-2025</t>
        </is>
      </c>
      <c r="B111" s="1" t="n">
        <v>45863</v>
      </c>
      <c r="C111" s="1" t="n">
        <v>46197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5023-2026</t>
        </is>
      </c>
      <c r="B112" s="1" t="n">
        <v>46049</v>
      </c>
      <c r="C112" s="1" t="n">
        <v>46197</v>
      </c>
      <c r="D112" t="inlineStr">
        <is>
          <t>DALARNAS LÄN</t>
        </is>
      </c>
      <c r="E112" t="inlineStr">
        <is>
          <t>AVESTA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5031-2026</t>
        </is>
      </c>
      <c r="B113" s="1" t="n">
        <v>46049</v>
      </c>
      <c r="C113" s="1" t="n">
        <v>46197</v>
      </c>
      <c r="D113" t="inlineStr">
        <is>
          <t>DALARNAS LÄN</t>
        </is>
      </c>
      <c r="E113" t="inlineStr">
        <is>
          <t>AVESTA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36178-2025</t>
        </is>
      </c>
      <c r="B114" s="1" t="n">
        <v>45867</v>
      </c>
      <c r="C114" s="1" t="n">
        <v>46197</v>
      </c>
      <c r="D114" t="inlineStr">
        <is>
          <t>DALARNAS LÄN</t>
        </is>
      </c>
      <c r="E114" t="inlineStr">
        <is>
          <t>AVESTA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32770-2023</t>
        </is>
      </c>
      <c r="B115" s="1" t="n">
        <v>45123</v>
      </c>
      <c r="C115" s="1" t="n">
        <v>46197</v>
      </c>
      <c r="D115" t="inlineStr">
        <is>
          <t>DALARNAS LÄN</t>
        </is>
      </c>
      <c r="E115" t="inlineStr">
        <is>
          <t>AVESTA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5041-2026</t>
        </is>
      </c>
      <c r="B116" s="1" t="n">
        <v>46049</v>
      </c>
      <c r="C116" s="1" t="n">
        <v>46197</v>
      </c>
      <c r="D116" t="inlineStr">
        <is>
          <t>DALARNAS LÄN</t>
        </is>
      </c>
      <c r="E116" t="inlineStr">
        <is>
          <t>AVESTA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6521-2023</t>
        </is>
      </c>
      <c r="B117" s="1" t="n">
        <v>44966</v>
      </c>
      <c r="C117" s="1" t="n">
        <v>46197</v>
      </c>
      <c r="D117" t="inlineStr">
        <is>
          <t>DALARNAS LÄN</t>
        </is>
      </c>
      <c r="E117" t="inlineStr">
        <is>
          <t>AVESTA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44471-2024</t>
        </is>
      </c>
      <c r="B118" s="1" t="n">
        <v>45574</v>
      </c>
      <c r="C118" s="1" t="n">
        <v>46197</v>
      </c>
      <c r="D118" t="inlineStr">
        <is>
          <t>DALARNAS LÄN</t>
        </is>
      </c>
      <c r="E118" t="inlineStr">
        <is>
          <t>AVESTA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48548-2025</t>
        </is>
      </c>
      <c r="B119" s="1" t="n">
        <v>45936</v>
      </c>
      <c r="C119" s="1" t="n">
        <v>46197</v>
      </c>
      <c r="D119" t="inlineStr">
        <is>
          <t>DALARNAS LÄN</t>
        </is>
      </c>
      <c r="E119" t="inlineStr">
        <is>
          <t>AVESTA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2710-2024</t>
        </is>
      </c>
      <c r="B120" s="1" t="n">
        <v>45314</v>
      </c>
      <c r="C120" s="1" t="n">
        <v>46197</v>
      </c>
      <c r="D120" t="inlineStr">
        <is>
          <t>DALARNAS LÄN</t>
        </is>
      </c>
      <c r="E120" t="inlineStr">
        <is>
          <t>AVESTA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9403-2022</t>
        </is>
      </c>
      <c r="B121" s="1" t="n">
        <v>44616</v>
      </c>
      <c r="C121" s="1" t="n">
        <v>46197</v>
      </c>
      <c r="D121" t="inlineStr">
        <is>
          <t>DALARNAS LÄN</t>
        </is>
      </c>
      <c r="E121" t="inlineStr">
        <is>
          <t>AVESTA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50681-2024</t>
        </is>
      </c>
      <c r="B122" s="1" t="n">
        <v>45602</v>
      </c>
      <c r="C122" s="1" t="n">
        <v>46197</v>
      </c>
      <c r="D122" t="inlineStr">
        <is>
          <t>DALARNAS LÄN</t>
        </is>
      </c>
      <c r="E122" t="inlineStr">
        <is>
          <t>AVESTA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49099-2025</t>
        </is>
      </c>
      <c r="B123" s="1" t="n">
        <v>45937</v>
      </c>
      <c r="C123" s="1" t="n">
        <v>46197</v>
      </c>
      <c r="D123" t="inlineStr">
        <is>
          <t>DALARNAS LÄN</t>
        </is>
      </c>
      <c r="E123" t="inlineStr">
        <is>
          <t>AVESTA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18805-2023</t>
        </is>
      </c>
      <c r="B124" s="1" t="n">
        <v>45044</v>
      </c>
      <c r="C124" s="1" t="n">
        <v>46197</v>
      </c>
      <c r="D124" t="inlineStr">
        <is>
          <t>DALARNAS LÄN</t>
        </is>
      </c>
      <c r="E124" t="inlineStr">
        <is>
          <t>AVESTA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7490-2023</t>
        </is>
      </c>
      <c r="B125" s="1" t="n">
        <v>44971</v>
      </c>
      <c r="C125" s="1" t="n">
        <v>46197</v>
      </c>
      <c r="D125" t="inlineStr">
        <is>
          <t>DALARNAS LÄN</t>
        </is>
      </c>
      <c r="E125" t="inlineStr">
        <is>
          <t>AVESTA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49095-2025</t>
        </is>
      </c>
      <c r="B126" s="1" t="n">
        <v>45937</v>
      </c>
      <c r="C126" s="1" t="n">
        <v>46197</v>
      </c>
      <c r="D126" t="inlineStr">
        <is>
          <t>DALARNAS LÄN</t>
        </is>
      </c>
      <c r="E126" t="inlineStr">
        <is>
          <t>AVESTA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53100-2024</t>
        </is>
      </c>
      <c r="B127" s="1" t="n">
        <v>45611</v>
      </c>
      <c r="C127" s="1" t="n">
        <v>46197</v>
      </c>
      <c r="D127" t="inlineStr">
        <is>
          <t>DALARNAS LÄN</t>
        </is>
      </c>
      <c r="E127" t="inlineStr">
        <is>
          <t>AVESTA</t>
        </is>
      </c>
      <c r="F127" t="inlineStr">
        <is>
          <t>Sveaskog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22234-2024</t>
        </is>
      </c>
      <c r="B128" s="1" t="n">
        <v>45446</v>
      </c>
      <c r="C128" s="1" t="n">
        <v>46197</v>
      </c>
      <c r="D128" t="inlineStr">
        <is>
          <t>DALARNAS LÄN</t>
        </is>
      </c>
      <c r="E128" t="inlineStr">
        <is>
          <t>AVESTA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37386-2025</t>
        </is>
      </c>
      <c r="B129" s="1" t="n">
        <v>45877</v>
      </c>
      <c r="C129" s="1" t="n">
        <v>46197</v>
      </c>
      <c r="D129" t="inlineStr">
        <is>
          <t>DALARNAS LÄN</t>
        </is>
      </c>
      <c r="E129" t="inlineStr">
        <is>
          <t>AVESTA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37387-2025</t>
        </is>
      </c>
      <c r="B130" s="1" t="n">
        <v>45877</v>
      </c>
      <c r="C130" s="1" t="n">
        <v>46197</v>
      </c>
      <c r="D130" t="inlineStr">
        <is>
          <t>DALARNAS LÄN</t>
        </is>
      </c>
      <c r="E130" t="inlineStr">
        <is>
          <t>AVESTA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6337-2026</t>
        </is>
      </c>
      <c r="B131" s="1" t="n">
        <v>46055</v>
      </c>
      <c r="C131" s="1" t="n">
        <v>46197</v>
      </c>
      <c r="D131" t="inlineStr">
        <is>
          <t>DALARNAS LÄN</t>
        </is>
      </c>
      <c r="E131" t="inlineStr">
        <is>
          <t>AVESTA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6329-2026</t>
        </is>
      </c>
      <c r="B132" s="1" t="n">
        <v>46055</v>
      </c>
      <c r="C132" s="1" t="n">
        <v>46197</v>
      </c>
      <c r="D132" t="inlineStr">
        <is>
          <t>DALARNAS LÄN</t>
        </is>
      </c>
      <c r="E132" t="inlineStr">
        <is>
          <t>AVESTA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37809-2025</t>
        </is>
      </c>
      <c r="B133" s="1" t="n">
        <v>45881</v>
      </c>
      <c r="C133" s="1" t="n">
        <v>46197</v>
      </c>
      <c r="D133" t="inlineStr">
        <is>
          <t>DALARNAS LÄN</t>
        </is>
      </c>
      <c r="E133" t="inlineStr">
        <is>
          <t>AVESTA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50238-2025</t>
        </is>
      </c>
      <c r="B134" s="1" t="n">
        <v>45943</v>
      </c>
      <c r="C134" s="1" t="n">
        <v>46197</v>
      </c>
      <c r="D134" t="inlineStr">
        <is>
          <t>DALARNAS LÄN</t>
        </is>
      </c>
      <c r="E134" t="inlineStr">
        <is>
          <t>AVESTA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41850-2025</t>
        </is>
      </c>
      <c r="B135" s="1" t="n">
        <v>45902</v>
      </c>
      <c r="C135" s="1" t="n">
        <v>46197</v>
      </c>
      <c r="D135" t="inlineStr">
        <is>
          <t>DALARNAS LÄN</t>
        </is>
      </c>
      <c r="E135" t="inlineStr">
        <is>
          <t>AVESTA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50440-2025</t>
        </is>
      </c>
      <c r="B136" s="1" t="n">
        <v>45944</v>
      </c>
      <c r="C136" s="1" t="n">
        <v>46197</v>
      </c>
      <c r="D136" t="inlineStr">
        <is>
          <t>DALARNAS LÄN</t>
        </is>
      </c>
      <c r="E136" t="inlineStr">
        <is>
          <t>AVESTA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24406-2024</t>
        </is>
      </c>
      <c r="B137" s="1" t="n">
        <v>45457</v>
      </c>
      <c r="C137" s="1" t="n">
        <v>46197</v>
      </c>
      <c r="D137" t="inlineStr">
        <is>
          <t>DALARNAS LÄN</t>
        </is>
      </c>
      <c r="E137" t="inlineStr">
        <is>
          <t>AVESTA</t>
        </is>
      </c>
      <c r="G137" t="n">
        <v>9.800000000000001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50682-2024</t>
        </is>
      </c>
      <c r="B138" s="1" t="n">
        <v>45602</v>
      </c>
      <c r="C138" s="1" t="n">
        <v>46197</v>
      </c>
      <c r="D138" t="inlineStr">
        <is>
          <t>DALARNAS LÄN</t>
        </is>
      </c>
      <c r="E138" t="inlineStr">
        <is>
          <t>AVESTA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51252-2025</t>
        </is>
      </c>
      <c r="B139" s="1" t="n">
        <v>45948</v>
      </c>
      <c r="C139" s="1" t="n">
        <v>46197</v>
      </c>
      <c r="D139" t="inlineStr">
        <is>
          <t>DALARNAS LÄN</t>
        </is>
      </c>
      <c r="E139" t="inlineStr">
        <is>
          <t>AVESTA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51253-2025</t>
        </is>
      </c>
      <c r="B140" s="1" t="n">
        <v>45948</v>
      </c>
      <c r="C140" s="1" t="n">
        <v>46197</v>
      </c>
      <c r="D140" t="inlineStr">
        <is>
          <t>DALARNAS LÄN</t>
        </is>
      </c>
      <c r="E140" t="inlineStr">
        <is>
          <t>AVESTA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51671-2025</t>
        </is>
      </c>
      <c r="B141" s="1" t="n">
        <v>45951</v>
      </c>
      <c r="C141" s="1" t="n">
        <v>46197</v>
      </c>
      <c r="D141" t="inlineStr">
        <is>
          <t>DALARNAS LÄN</t>
        </is>
      </c>
      <c r="E141" t="inlineStr">
        <is>
          <t>AVESTA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14944-2023</t>
        </is>
      </c>
      <c r="B142" s="1" t="n">
        <v>45015</v>
      </c>
      <c r="C142" s="1" t="n">
        <v>46197</v>
      </c>
      <c r="D142" t="inlineStr">
        <is>
          <t>DALARNAS LÄN</t>
        </is>
      </c>
      <c r="E142" t="inlineStr">
        <is>
          <t>AVESTA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52351-2025</t>
        </is>
      </c>
      <c r="B143" s="1" t="n">
        <v>45953</v>
      </c>
      <c r="C143" s="1" t="n">
        <v>46197</v>
      </c>
      <c r="D143" t="inlineStr">
        <is>
          <t>DALARNAS LÄN</t>
        </is>
      </c>
      <c r="E143" t="inlineStr">
        <is>
          <t>AVESTA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38689-2025</t>
        </is>
      </c>
      <c r="B144" s="1" t="n">
        <v>45884</v>
      </c>
      <c r="C144" s="1" t="n">
        <v>46197</v>
      </c>
      <c r="D144" t="inlineStr">
        <is>
          <t>DALARNAS LÄN</t>
        </is>
      </c>
      <c r="E144" t="inlineStr">
        <is>
          <t>AVESTA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52350-2025</t>
        </is>
      </c>
      <c r="B145" s="1" t="n">
        <v>45953</v>
      </c>
      <c r="C145" s="1" t="n">
        <v>46197</v>
      </c>
      <c r="D145" t="inlineStr">
        <is>
          <t>DALARNAS LÄN</t>
        </is>
      </c>
      <c r="E145" t="inlineStr">
        <is>
          <t>AVESTA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8524-2023</t>
        </is>
      </c>
      <c r="B146" s="1" t="n">
        <v>44972</v>
      </c>
      <c r="C146" s="1" t="n">
        <v>46197</v>
      </c>
      <c r="D146" t="inlineStr">
        <is>
          <t>DALARNAS LÄN</t>
        </is>
      </c>
      <c r="E146" t="inlineStr">
        <is>
          <t>AVESTA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52470-2025</t>
        </is>
      </c>
      <c r="B147" s="1" t="n">
        <v>45954</v>
      </c>
      <c r="C147" s="1" t="n">
        <v>46197</v>
      </c>
      <c r="D147" t="inlineStr">
        <is>
          <t>DALARNAS LÄN</t>
        </is>
      </c>
      <c r="E147" t="inlineStr">
        <is>
          <t>AVESTA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7626-2026</t>
        </is>
      </c>
      <c r="B148" s="1" t="n">
        <v>46062</v>
      </c>
      <c r="C148" s="1" t="n">
        <v>46197</v>
      </c>
      <c r="D148" t="inlineStr">
        <is>
          <t>DALARNAS LÄN</t>
        </is>
      </c>
      <c r="E148" t="inlineStr">
        <is>
          <t>AVESTA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23834-2024</t>
        </is>
      </c>
      <c r="B149" s="1" t="n">
        <v>45455</v>
      </c>
      <c r="C149" s="1" t="n">
        <v>46197</v>
      </c>
      <c r="D149" t="inlineStr">
        <is>
          <t>DALARNAS LÄN</t>
        </is>
      </c>
      <c r="E149" t="inlineStr">
        <is>
          <t>AVESTA</t>
        </is>
      </c>
      <c r="F149" t="inlineStr">
        <is>
          <t>Bergvik skog väst AB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47867-2022</t>
        </is>
      </c>
      <c r="B150" s="1" t="n">
        <v>44855</v>
      </c>
      <c r="C150" s="1" t="n">
        <v>46197</v>
      </c>
      <c r="D150" t="inlineStr">
        <is>
          <t>DALARNAS LÄN</t>
        </is>
      </c>
      <c r="E150" t="inlineStr">
        <is>
          <t>AVESTA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56536-2024</t>
        </is>
      </c>
      <c r="B151" s="1" t="n">
        <v>45625</v>
      </c>
      <c r="C151" s="1" t="n">
        <v>46197</v>
      </c>
      <c r="D151" t="inlineStr">
        <is>
          <t>DALARNAS LÄN</t>
        </is>
      </c>
      <c r="E151" t="inlineStr">
        <is>
          <t>AVESTA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25115-2025</t>
        </is>
      </c>
      <c r="B152" s="1" t="n">
        <v>45800</v>
      </c>
      <c r="C152" s="1" t="n">
        <v>46197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13553-2025</t>
        </is>
      </c>
      <c r="B153" s="1" t="n">
        <v>45736</v>
      </c>
      <c r="C153" s="1" t="n">
        <v>46197</v>
      </c>
      <c r="D153" t="inlineStr">
        <is>
          <t>DALARNAS LÄN</t>
        </is>
      </c>
      <c r="E153" t="inlineStr">
        <is>
          <t>AVESTA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25463-2023</t>
        </is>
      </c>
      <c r="B154" s="1" t="n">
        <v>45082</v>
      </c>
      <c r="C154" s="1" t="n">
        <v>46197</v>
      </c>
      <c r="D154" t="inlineStr">
        <is>
          <t>DALARNAS LÄN</t>
        </is>
      </c>
      <c r="E154" t="inlineStr">
        <is>
          <t>AVESTA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7321-2025</t>
        </is>
      </c>
      <c r="B155" s="1" t="n">
        <v>45702</v>
      </c>
      <c r="C155" s="1" t="n">
        <v>46197</v>
      </c>
      <c r="D155" t="inlineStr">
        <is>
          <t>DALARNAS LÄN</t>
        </is>
      </c>
      <c r="E155" t="inlineStr">
        <is>
          <t>AVESTA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23974-2023</t>
        </is>
      </c>
      <c r="B156" s="1" t="n">
        <v>45078</v>
      </c>
      <c r="C156" s="1" t="n">
        <v>46197</v>
      </c>
      <c r="D156" t="inlineStr">
        <is>
          <t>DALARNAS LÄN</t>
        </is>
      </c>
      <c r="E156" t="inlineStr">
        <is>
          <t>AVESTA</t>
        </is>
      </c>
      <c r="F156" t="inlineStr">
        <is>
          <t>Sveaskog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43670-2025</t>
        </is>
      </c>
      <c r="B157" s="1" t="n">
        <v>45912</v>
      </c>
      <c r="C157" s="1" t="n">
        <v>46197</v>
      </c>
      <c r="D157" t="inlineStr">
        <is>
          <t>DALARNAS LÄN</t>
        </is>
      </c>
      <c r="E157" t="inlineStr">
        <is>
          <t>AVESTA</t>
        </is>
      </c>
      <c r="F157" t="inlineStr">
        <is>
          <t>Sveaskog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9427-2026</t>
        </is>
      </c>
      <c r="B158" s="1" t="n">
        <v>46071</v>
      </c>
      <c r="C158" s="1" t="n">
        <v>46197</v>
      </c>
      <c r="D158" t="inlineStr">
        <is>
          <t>DALARNAS LÄN</t>
        </is>
      </c>
      <c r="E158" t="inlineStr">
        <is>
          <t>AVESTA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56009-2025</t>
        </is>
      </c>
      <c r="B159" s="1" t="n">
        <v>45973</v>
      </c>
      <c r="C159" s="1" t="n">
        <v>46197</v>
      </c>
      <c r="D159" t="inlineStr">
        <is>
          <t>DALARNAS LÄN</t>
        </is>
      </c>
      <c r="E159" t="inlineStr">
        <is>
          <t>AVESTA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58165-2025</t>
        </is>
      </c>
      <c r="B160" s="1" t="n">
        <v>45982</v>
      </c>
      <c r="C160" s="1" t="n">
        <v>46197</v>
      </c>
      <c r="D160" t="inlineStr">
        <is>
          <t>DALARNAS LÄN</t>
        </is>
      </c>
      <c r="E160" t="inlineStr">
        <is>
          <t>AVESTA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13965-2023</t>
        </is>
      </c>
      <c r="B161" s="1" t="n">
        <v>45008</v>
      </c>
      <c r="C161" s="1" t="n">
        <v>46197</v>
      </c>
      <c r="D161" t="inlineStr">
        <is>
          <t>DALARNAS LÄN</t>
        </is>
      </c>
      <c r="E161" t="inlineStr">
        <is>
          <t>AVESTA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44141-2022</t>
        </is>
      </c>
      <c r="B162" s="1" t="n">
        <v>44839</v>
      </c>
      <c r="C162" s="1" t="n">
        <v>46197</v>
      </c>
      <c r="D162" t="inlineStr">
        <is>
          <t>DALARNAS LÄN</t>
        </is>
      </c>
      <c r="E162" t="inlineStr">
        <is>
          <t>AVESTA</t>
        </is>
      </c>
      <c r="G162" t="n">
        <v>6.6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28090-2022</t>
        </is>
      </c>
      <c r="B163" s="1" t="n">
        <v>44746</v>
      </c>
      <c r="C163" s="1" t="n">
        <v>46197</v>
      </c>
      <c r="D163" t="inlineStr">
        <is>
          <t>DALARNAS LÄN</t>
        </is>
      </c>
      <c r="E163" t="inlineStr">
        <is>
          <t>AVESTA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11825-2026</t>
        </is>
      </c>
      <c r="B164" s="1" t="n">
        <v>46085</v>
      </c>
      <c r="C164" s="1" t="n">
        <v>46197</v>
      </c>
      <c r="D164" t="inlineStr">
        <is>
          <t>DALARNAS LÄN</t>
        </is>
      </c>
      <c r="E164" t="inlineStr">
        <is>
          <t>AVESTA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12145-2025</t>
        </is>
      </c>
      <c r="B165" s="1" t="n">
        <v>45729</v>
      </c>
      <c r="C165" s="1" t="n">
        <v>46197</v>
      </c>
      <c r="D165" t="inlineStr">
        <is>
          <t>DALARNAS LÄN</t>
        </is>
      </c>
      <c r="E165" t="inlineStr">
        <is>
          <t>AVESTA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46253-2023</t>
        </is>
      </c>
      <c r="B166" s="1" t="n">
        <v>45196</v>
      </c>
      <c r="C166" s="1" t="n">
        <v>46197</v>
      </c>
      <c r="D166" t="inlineStr">
        <is>
          <t>DALARNAS LÄN</t>
        </is>
      </c>
      <c r="E166" t="inlineStr">
        <is>
          <t>AVESTA</t>
        </is>
      </c>
      <c r="F166" t="inlineStr">
        <is>
          <t>Sveaskog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46279-2023</t>
        </is>
      </c>
      <c r="B167" s="1" t="n">
        <v>45196</v>
      </c>
      <c r="C167" s="1" t="n">
        <v>46197</v>
      </c>
      <c r="D167" t="inlineStr">
        <is>
          <t>DALARNAS LÄN</t>
        </is>
      </c>
      <c r="E167" t="inlineStr">
        <is>
          <t>AVESTA</t>
        </is>
      </c>
      <c r="F167" t="inlineStr">
        <is>
          <t>Sveaskog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60182-2025</t>
        </is>
      </c>
      <c r="B168" s="1" t="n">
        <v>45994</v>
      </c>
      <c r="C168" s="1" t="n">
        <v>46197</v>
      </c>
      <c r="D168" t="inlineStr">
        <is>
          <t>DALARNAS LÄN</t>
        </is>
      </c>
      <c r="E168" t="inlineStr">
        <is>
          <t>AVESTA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16522-2025</t>
        </is>
      </c>
      <c r="B169" s="1" t="n">
        <v>45751</v>
      </c>
      <c r="C169" s="1" t="n">
        <v>46197</v>
      </c>
      <c r="D169" t="inlineStr">
        <is>
          <t>DALARNAS LÄN</t>
        </is>
      </c>
      <c r="E169" t="inlineStr">
        <is>
          <t>AVESTA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47408-2025</t>
        </is>
      </c>
      <c r="B170" s="1" t="n">
        <v>45930</v>
      </c>
      <c r="C170" s="1" t="n">
        <v>46197</v>
      </c>
      <c r="D170" t="inlineStr">
        <is>
          <t>DALARNAS LÄN</t>
        </is>
      </c>
      <c r="E170" t="inlineStr">
        <is>
          <t>AVESTA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61013-2025</t>
        </is>
      </c>
      <c r="B171" s="1" t="n">
        <v>45999</v>
      </c>
      <c r="C171" s="1" t="n">
        <v>46197</v>
      </c>
      <c r="D171" t="inlineStr">
        <is>
          <t>DALARNAS LÄN</t>
        </is>
      </c>
      <c r="E171" t="inlineStr">
        <is>
          <t>AVESTA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61119-2025</t>
        </is>
      </c>
      <c r="B172" s="1" t="n">
        <v>46000</v>
      </c>
      <c r="C172" s="1" t="n">
        <v>46197</v>
      </c>
      <c r="D172" t="inlineStr">
        <is>
          <t>DALARNAS LÄN</t>
        </is>
      </c>
      <c r="E172" t="inlineStr">
        <is>
          <t>AVESTA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55549-2023</t>
        </is>
      </c>
      <c r="B173" s="1" t="n">
        <v>45232</v>
      </c>
      <c r="C173" s="1" t="n">
        <v>46197</v>
      </c>
      <c r="D173" t="inlineStr">
        <is>
          <t>DALARNAS LÄN</t>
        </is>
      </c>
      <c r="E173" t="inlineStr">
        <is>
          <t>AVESTA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63460-2025</t>
        </is>
      </c>
      <c r="B174" s="1" t="n">
        <v>46013</v>
      </c>
      <c r="C174" s="1" t="n">
        <v>46197</v>
      </c>
      <c r="D174" t="inlineStr">
        <is>
          <t>DALARNAS LÄN</t>
        </is>
      </c>
      <c r="E174" t="inlineStr">
        <is>
          <t>AVESTA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10078-2025</t>
        </is>
      </c>
      <c r="B175" s="1" t="n">
        <v>45719</v>
      </c>
      <c r="C175" s="1" t="n">
        <v>46197</v>
      </c>
      <c r="D175" t="inlineStr">
        <is>
          <t>DALARNAS LÄN</t>
        </is>
      </c>
      <c r="E175" t="inlineStr">
        <is>
          <t>AVESTA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10566-2025</t>
        </is>
      </c>
      <c r="B176" s="1" t="n">
        <v>45721</v>
      </c>
      <c r="C176" s="1" t="n">
        <v>46197</v>
      </c>
      <c r="D176" t="inlineStr">
        <is>
          <t>DALARNAS LÄN</t>
        </is>
      </c>
      <c r="E176" t="inlineStr">
        <is>
          <t>AVESTA</t>
        </is>
      </c>
      <c r="F176" t="inlineStr">
        <is>
          <t>Sveaskog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30524-2024</t>
        </is>
      </c>
      <c r="B177" s="1" t="n">
        <v>45492</v>
      </c>
      <c r="C177" s="1" t="n">
        <v>46197</v>
      </c>
      <c r="D177" t="inlineStr">
        <is>
          <t>DALARNAS LÄN</t>
        </is>
      </c>
      <c r="E177" t="inlineStr">
        <is>
          <t>AVESTA</t>
        </is>
      </c>
      <c r="F177" t="inlineStr">
        <is>
          <t>Sveaskog</t>
        </is>
      </c>
      <c r="G177" t="n">
        <v>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14084-2023</t>
        </is>
      </c>
      <c r="B178" s="1" t="n">
        <v>45009</v>
      </c>
      <c r="C178" s="1" t="n">
        <v>46197</v>
      </c>
      <c r="D178" t="inlineStr">
        <is>
          <t>DALARNAS LÄN</t>
        </is>
      </c>
      <c r="E178" t="inlineStr">
        <is>
          <t>AVESTA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14090-2023</t>
        </is>
      </c>
      <c r="B179" s="1" t="n">
        <v>45009</v>
      </c>
      <c r="C179" s="1" t="n">
        <v>46197</v>
      </c>
      <c r="D179" t="inlineStr">
        <is>
          <t>DALARNAS LÄN</t>
        </is>
      </c>
      <c r="E179" t="inlineStr">
        <is>
          <t>AVESTA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73377-2021</t>
        </is>
      </c>
      <c r="B180" s="1" t="n">
        <v>44551</v>
      </c>
      <c r="C180" s="1" t="n">
        <v>46197</v>
      </c>
      <c r="D180" t="inlineStr">
        <is>
          <t>DALARNAS LÄN</t>
        </is>
      </c>
      <c r="E180" t="inlineStr">
        <is>
          <t>AVESTA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10573-2025</t>
        </is>
      </c>
      <c r="B181" s="1" t="n">
        <v>45721</v>
      </c>
      <c r="C181" s="1" t="n">
        <v>46197</v>
      </c>
      <c r="D181" t="inlineStr">
        <is>
          <t>DALARNAS LÄN</t>
        </is>
      </c>
      <c r="E181" t="inlineStr">
        <is>
          <t>AVESTA</t>
        </is>
      </c>
      <c r="F181" t="inlineStr">
        <is>
          <t>Sveaskog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18573-2025</t>
        </is>
      </c>
      <c r="B182" s="1" t="n">
        <v>45763</v>
      </c>
      <c r="C182" s="1" t="n">
        <v>46197</v>
      </c>
      <c r="D182" t="inlineStr">
        <is>
          <t>DALARNAS LÄN</t>
        </is>
      </c>
      <c r="E182" t="inlineStr">
        <is>
          <t>AVESTA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31959-2024</t>
        </is>
      </c>
      <c r="B183" s="1" t="n">
        <v>45510</v>
      </c>
      <c r="C183" s="1" t="n">
        <v>46197</v>
      </c>
      <c r="D183" t="inlineStr">
        <is>
          <t>DALARNAS LÄN</t>
        </is>
      </c>
      <c r="E183" t="inlineStr">
        <is>
          <t>AVESTA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18112-2022</t>
        </is>
      </c>
      <c r="B184" s="1" t="n">
        <v>44684</v>
      </c>
      <c r="C184" s="1" t="n">
        <v>46197</v>
      </c>
      <c r="D184" t="inlineStr">
        <is>
          <t>DALARNAS LÄN</t>
        </is>
      </c>
      <c r="E184" t="inlineStr">
        <is>
          <t>AVESTA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58094-2022</t>
        </is>
      </c>
      <c r="B185" s="1" t="n">
        <v>44900</v>
      </c>
      <c r="C185" s="1" t="n">
        <v>46197</v>
      </c>
      <c r="D185" t="inlineStr">
        <is>
          <t>DALARNAS LÄN</t>
        </is>
      </c>
      <c r="E185" t="inlineStr">
        <is>
          <t>AVESTA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54913-2025</t>
        </is>
      </c>
      <c r="B186" s="1" t="n">
        <v>45967</v>
      </c>
      <c r="C186" s="1" t="n">
        <v>46197</v>
      </c>
      <c r="D186" t="inlineStr">
        <is>
          <t>DALARNAS LÄN</t>
        </is>
      </c>
      <c r="E186" t="inlineStr">
        <is>
          <t>AVESTA</t>
        </is>
      </c>
      <c r="F186" t="inlineStr">
        <is>
          <t>Sveaskog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1497-2026</t>
        </is>
      </c>
      <c r="B187" s="1" t="n">
        <v>46034</v>
      </c>
      <c r="C187" s="1" t="n">
        <v>46197</v>
      </c>
      <c r="D187" t="inlineStr">
        <is>
          <t>DALARNAS LÄN</t>
        </is>
      </c>
      <c r="E187" t="inlineStr">
        <is>
          <t>AVESTA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16333-2026</t>
        </is>
      </c>
      <c r="B188" s="1" t="n">
        <v>46111</v>
      </c>
      <c r="C188" s="1" t="n">
        <v>46197</v>
      </c>
      <c r="D188" t="inlineStr">
        <is>
          <t>DALARNAS LÄN</t>
        </is>
      </c>
      <c r="E188" t="inlineStr">
        <is>
          <t>AVESTA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22579-2026</t>
        </is>
      </c>
      <c r="B189" s="1" t="n">
        <v>46155</v>
      </c>
      <c r="C189" s="1" t="n">
        <v>46197</v>
      </c>
      <c r="D189" t="inlineStr">
        <is>
          <t>DALARNAS LÄN</t>
        </is>
      </c>
      <c r="E189" t="inlineStr">
        <is>
          <t>AVESTA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22586-2026</t>
        </is>
      </c>
      <c r="B190" s="1" t="n">
        <v>46155</v>
      </c>
      <c r="C190" s="1" t="n">
        <v>46197</v>
      </c>
      <c r="D190" t="inlineStr">
        <is>
          <t>DALARNAS LÄN</t>
        </is>
      </c>
      <c r="E190" t="inlineStr">
        <is>
          <t>AVESTA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16820-2026</t>
        </is>
      </c>
      <c r="B191" s="1" t="n">
        <v>46113</v>
      </c>
      <c r="C191" s="1" t="n">
        <v>46197</v>
      </c>
      <c r="D191" t="inlineStr">
        <is>
          <t>DALARNAS LÄN</t>
        </is>
      </c>
      <c r="E191" t="inlineStr">
        <is>
          <t>AVESTA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16825-2026</t>
        </is>
      </c>
      <c r="B192" s="1" t="n">
        <v>46113</v>
      </c>
      <c r="C192" s="1" t="n">
        <v>46197</v>
      </c>
      <c r="D192" t="inlineStr">
        <is>
          <t>DALARNAS LÄN</t>
        </is>
      </c>
      <c r="E192" t="inlineStr">
        <is>
          <t>AVESTA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16821-2026</t>
        </is>
      </c>
      <c r="B193" s="1" t="n">
        <v>46113</v>
      </c>
      <c r="C193" s="1" t="n">
        <v>46197</v>
      </c>
      <c r="D193" t="inlineStr">
        <is>
          <t>DALARNAS LÄN</t>
        </is>
      </c>
      <c r="E193" t="inlineStr">
        <is>
          <t>AVESTA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16824-2026</t>
        </is>
      </c>
      <c r="B194" s="1" t="n">
        <v>46113</v>
      </c>
      <c r="C194" s="1" t="n">
        <v>46197</v>
      </c>
      <c r="D194" t="inlineStr">
        <is>
          <t>DALARNAS LÄN</t>
        </is>
      </c>
      <c r="E194" t="inlineStr">
        <is>
          <t>AVESTA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22571-2026</t>
        </is>
      </c>
      <c r="B195" s="1" t="n">
        <v>46155</v>
      </c>
      <c r="C195" s="1" t="n">
        <v>46197</v>
      </c>
      <c r="D195" t="inlineStr">
        <is>
          <t>DALARNAS LÄN</t>
        </is>
      </c>
      <c r="E195" t="inlineStr">
        <is>
          <t>AVESTA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16822-2026</t>
        </is>
      </c>
      <c r="B196" s="1" t="n">
        <v>46113</v>
      </c>
      <c r="C196" s="1" t="n">
        <v>46197</v>
      </c>
      <c r="D196" t="inlineStr">
        <is>
          <t>DALARNAS LÄN</t>
        </is>
      </c>
      <c r="E196" t="inlineStr">
        <is>
          <t>AVESTA</t>
        </is>
      </c>
      <c r="G196" t="n">
        <v>8.4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16827-2026</t>
        </is>
      </c>
      <c r="B197" s="1" t="n">
        <v>46113</v>
      </c>
      <c r="C197" s="1" t="n">
        <v>46197</v>
      </c>
      <c r="D197" t="inlineStr">
        <is>
          <t>DALARNAS LÄN</t>
        </is>
      </c>
      <c r="E197" t="inlineStr">
        <is>
          <t>AVESTA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9148-2023</t>
        </is>
      </c>
      <c r="B198" s="1" t="n">
        <v>44980</v>
      </c>
      <c r="C198" s="1" t="n">
        <v>46197</v>
      </c>
      <c r="D198" t="inlineStr">
        <is>
          <t>DALARNAS LÄN</t>
        </is>
      </c>
      <c r="E198" t="inlineStr">
        <is>
          <t>AVESTA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5186-2024</t>
        </is>
      </c>
      <c r="B199" s="1" t="n">
        <v>45330</v>
      </c>
      <c r="C199" s="1" t="n">
        <v>46197</v>
      </c>
      <c r="D199" t="inlineStr">
        <is>
          <t>DALARNAS LÄN</t>
        </is>
      </c>
      <c r="E199" t="inlineStr">
        <is>
          <t>AVESTA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62566-2023</t>
        </is>
      </c>
      <c r="B200" s="1" t="n">
        <v>45269</v>
      </c>
      <c r="C200" s="1" t="n">
        <v>46197</v>
      </c>
      <c r="D200" t="inlineStr">
        <is>
          <t>DALARNAS LÄN</t>
        </is>
      </c>
      <c r="E200" t="inlineStr">
        <is>
          <t>AVESTA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31389-2024</t>
        </is>
      </c>
      <c r="B201" s="1" t="n">
        <v>45505</v>
      </c>
      <c r="C201" s="1" t="n">
        <v>46197</v>
      </c>
      <c r="D201" t="inlineStr">
        <is>
          <t>DALARNAS LÄN</t>
        </is>
      </c>
      <c r="E201" t="inlineStr">
        <is>
          <t>AVESTA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18197-2023</t>
        </is>
      </c>
      <c r="B202" s="1" t="n">
        <v>45040</v>
      </c>
      <c r="C202" s="1" t="n">
        <v>46197</v>
      </c>
      <c r="D202" t="inlineStr">
        <is>
          <t>DALARNAS LÄN</t>
        </is>
      </c>
      <c r="E202" t="inlineStr">
        <is>
          <t>AVESTA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17979-2026</t>
        </is>
      </c>
      <c r="B203" s="1" t="n">
        <v>46124</v>
      </c>
      <c r="C203" s="1" t="n">
        <v>46197</v>
      </c>
      <c r="D203" t="inlineStr">
        <is>
          <t>DALARNAS LÄN</t>
        </is>
      </c>
      <c r="E203" t="inlineStr">
        <is>
          <t>AVESTA</t>
        </is>
      </c>
      <c r="F203" t="inlineStr">
        <is>
          <t>Sveaskog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6262-2023</t>
        </is>
      </c>
      <c r="B204" s="1" t="n">
        <v>44963</v>
      </c>
      <c r="C204" s="1" t="n">
        <v>46197</v>
      </c>
      <c r="D204" t="inlineStr">
        <is>
          <t>DALARNAS LÄN</t>
        </is>
      </c>
      <c r="E204" t="inlineStr">
        <is>
          <t>AVESTA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24389-2026</t>
        </is>
      </c>
      <c r="B205" s="1" t="n">
        <v>46169</v>
      </c>
      <c r="C205" s="1" t="n">
        <v>46197</v>
      </c>
      <c r="D205" t="inlineStr">
        <is>
          <t>DALARNAS LÄN</t>
        </is>
      </c>
      <c r="E205" t="inlineStr">
        <is>
          <t>AVESTA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24392-2026</t>
        </is>
      </c>
      <c r="B206" s="1" t="n">
        <v>46169</v>
      </c>
      <c r="C206" s="1" t="n">
        <v>46197</v>
      </c>
      <c r="D206" t="inlineStr">
        <is>
          <t>DALARNAS LÄN</t>
        </is>
      </c>
      <c r="E206" t="inlineStr">
        <is>
          <t>AVESTA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24395-2026</t>
        </is>
      </c>
      <c r="B207" s="1" t="n">
        <v>46169</v>
      </c>
      <c r="C207" s="1" t="n">
        <v>46197</v>
      </c>
      <c r="D207" t="inlineStr">
        <is>
          <t>DALARNAS LÄN</t>
        </is>
      </c>
      <c r="E207" t="inlineStr">
        <is>
          <t>AVESTA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34186-2023</t>
        </is>
      </c>
      <c r="B208" s="1" t="n">
        <v>45138</v>
      </c>
      <c r="C208" s="1" t="n">
        <v>46197</v>
      </c>
      <c r="D208" t="inlineStr">
        <is>
          <t>DALARNAS LÄN</t>
        </is>
      </c>
      <c r="E208" t="inlineStr">
        <is>
          <t>AVESTA</t>
        </is>
      </c>
      <c r="G208" t="n">
        <v>8.5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24113-2026</t>
        </is>
      </c>
      <c r="B209" s="1" t="n">
        <v>46168</v>
      </c>
      <c r="C209" s="1" t="n">
        <v>46197</v>
      </c>
      <c r="D209" t="inlineStr">
        <is>
          <t>DALARNAS LÄN</t>
        </is>
      </c>
      <c r="E209" t="inlineStr">
        <is>
          <t>AVESTA</t>
        </is>
      </c>
      <c r="G209" t="n">
        <v>8.800000000000001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18662-2026</t>
        </is>
      </c>
      <c r="B210" s="1" t="n">
        <v>46128</v>
      </c>
      <c r="C210" s="1" t="n">
        <v>46197</v>
      </c>
      <c r="D210" t="inlineStr">
        <is>
          <t>DALARNAS LÄN</t>
        </is>
      </c>
      <c r="E210" t="inlineStr">
        <is>
          <t>AVESTA</t>
        </is>
      </c>
      <c r="F210" t="inlineStr">
        <is>
          <t>Sveaskog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50003-2024</t>
        </is>
      </c>
      <c r="B211" s="1" t="n">
        <v>45598</v>
      </c>
      <c r="C211" s="1" t="n">
        <v>46197</v>
      </c>
      <c r="D211" t="inlineStr">
        <is>
          <t>DALARNAS LÄN</t>
        </is>
      </c>
      <c r="E211" t="inlineStr">
        <is>
          <t>AVESTA</t>
        </is>
      </c>
      <c r="F211" t="inlineStr">
        <is>
          <t>Sveaskog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46674-2024</t>
        </is>
      </c>
      <c r="B212" s="1" t="n">
        <v>45583</v>
      </c>
      <c r="C212" s="1" t="n">
        <v>46197</v>
      </c>
      <c r="D212" t="inlineStr">
        <is>
          <t>DALARNAS LÄN</t>
        </is>
      </c>
      <c r="E212" t="inlineStr">
        <is>
          <t>AVESTA</t>
        </is>
      </c>
      <c r="F212" t="inlineStr">
        <is>
          <t>Sveaskog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18679-2026</t>
        </is>
      </c>
      <c r="B213" s="1" t="n">
        <v>46128</v>
      </c>
      <c r="C213" s="1" t="n">
        <v>46197</v>
      </c>
      <c r="D213" t="inlineStr">
        <is>
          <t>DALARNAS LÄN</t>
        </is>
      </c>
      <c r="E213" t="inlineStr">
        <is>
          <t>AVESTA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18652-2026</t>
        </is>
      </c>
      <c r="B214" s="1" t="n">
        <v>46128</v>
      </c>
      <c r="C214" s="1" t="n">
        <v>46197</v>
      </c>
      <c r="D214" t="inlineStr">
        <is>
          <t>DALARNAS LÄN</t>
        </is>
      </c>
      <c r="E214" t="inlineStr">
        <is>
          <t>AVESTA</t>
        </is>
      </c>
      <c r="F214" t="inlineStr">
        <is>
          <t>Sveaskog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18655-2026</t>
        </is>
      </c>
      <c r="B215" s="1" t="n">
        <v>46128</v>
      </c>
      <c r="C215" s="1" t="n">
        <v>46197</v>
      </c>
      <c r="D215" t="inlineStr">
        <is>
          <t>DALARNAS LÄN</t>
        </is>
      </c>
      <c r="E215" t="inlineStr">
        <is>
          <t>AVESTA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13940-2023</t>
        </is>
      </c>
      <c r="B216" s="1" t="n">
        <v>45008</v>
      </c>
      <c r="C216" s="1" t="n">
        <v>46197</v>
      </c>
      <c r="D216" t="inlineStr">
        <is>
          <t>DALARNAS LÄN</t>
        </is>
      </c>
      <c r="E216" t="inlineStr">
        <is>
          <t>AVESTA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863-2022</t>
        </is>
      </c>
      <c r="B217" s="1" t="n">
        <v>44571</v>
      </c>
      <c r="C217" s="1" t="n">
        <v>46197</v>
      </c>
      <c r="D217" t="inlineStr">
        <is>
          <t>DALARNAS LÄN</t>
        </is>
      </c>
      <c r="E217" t="inlineStr">
        <is>
          <t>AVESTA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25195-2026</t>
        </is>
      </c>
      <c r="B218" s="1" t="n">
        <v>46175</v>
      </c>
      <c r="C218" s="1" t="n">
        <v>46197</v>
      </c>
      <c r="D218" t="inlineStr">
        <is>
          <t>DALARNAS LÄN</t>
        </is>
      </c>
      <c r="E218" t="inlineStr">
        <is>
          <t>AVESTA</t>
        </is>
      </c>
      <c r="G218" t="n">
        <v>19.2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31116-2023</t>
        </is>
      </c>
      <c r="B219" s="1" t="n">
        <v>45103</v>
      </c>
      <c r="C219" s="1" t="n">
        <v>46197</v>
      </c>
      <c r="D219" t="inlineStr">
        <is>
          <t>DALARNAS LÄN</t>
        </is>
      </c>
      <c r="E219" t="inlineStr">
        <is>
          <t>AVESTA</t>
        </is>
      </c>
      <c r="F219" t="inlineStr">
        <is>
          <t>Bergvik skog väst AB</t>
        </is>
      </c>
      <c r="G219" t="n">
        <v>37.2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19320-2026</t>
        </is>
      </c>
      <c r="B220" s="1" t="n">
        <v>46133</v>
      </c>
      <c r="C220" s="1" t="n">
        <v>46197</v>
      </c>
      <c r="D220" t="inlineStr">
        <is>
          <t>DALARNAS LÄN</t>
        </is>
      </c>
      <c r="E220" t="inlineStr">
        <is>
          <t>AVESTA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31000-2024</t>
        </is>
      </c>
      <c r="B221" s="1" t="n">
        <v>45499</v>
      </c>
      <c r="C221" s="1" t="n">
        <v>46197</v>
      </c>
      <c r="D221" t="inlineStr">
        <is>
          <t>DALARNAS LÄN</t>
        </is>
      </c>
      <c r="E221" t="inlineStr">
        <is>
          <t>AVESTA</t>
        </is>
      </c>
      <c r="F221" t="inlineStr">
        <is>
          <t>Sveaskog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61758-2024</t>
        </is>
      </c>
      <c r="B222" s="1" t="n">
        <v>45649</v>
      </c>
      <c r="C222" s="1" t="n">
        <v>46197</v>
      </c>
      <c r="D222" t="inlineStr">
        <is>
          <t>DALARNAS LÄN</t>
        </is>
      </c>
      <c r="E222" t="inlineStr">
        <is>
          <t>AVESTA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3990-2025</t>
        </is>
      </c>
      <c r="B223" s="1" t="n">
        <v>45684</v>
      </c>
      <c r="C223" s="1" t="n">
        <v>46197</v>
      </c>
      <c r="D223" t="inlineStr">
        <is>
          <t>DALARNAS LÄN</t>
        </is>
      </c>
      <c r="E223" t="inlineStr">
        <is>
          <t>AVESTA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19957-2026</t>
        </is>
      </c>
      <c r="B224" s="1" t="n">
        <v>46135</v>
      </c>
      <c r="C224" s="1" t="n">
        <v>46197</v>
      </c>
      <c r="D224" t="inlineStr">
        <is>
          <t>DALARNAS LÄN</t>
        </is>
      </c>
      <c r="E224" t="inlineStr">
        <is>
          <t>AVESTA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9786-2025</t>
        </is>
      </c>
      <c r="B225" s="1" t="n">
        <v>45715</v>
      </c>
      <c r="C225" s="1" t="n">
        <v>46197</v>
      </c>
      <c r="D225" t="inlineStr">
        <is>
          <t>DALARNAS LÄN</t>
        </is>
      </c>
      <c r="E225" t="inlineStr">
        <is>
          <t>AVESTA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8759-2022</t>
        </is>
      </c>
      <c r="B226" s="1" t="n">
        <v>44613</v>
      </c>
      <c r="C226" s="1" t="n">
        <v>46197</v>
      </c>
      <c r="D226" t="inlineStr">
        <is>
          <t>DALARNAS LÄN</t>
        </is>
      </c>
      <c r="E226" t="inlineStr">
        <is>
          <t>AVESTA</t>
        </is>
      </c>
      <c r="G226" t="n">
        <v>12.9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44066-2025</t>
        </is>
      </c>
      <c r="B227" s="1" t="n">
        <v>45915</v>
      </c>
      <c r="C227" s="1" t="n">
        <v>46197</v>
      </c>
      <c r="D227" t="inlineStr">
        <is>
          <t>DALARNAS LÄN</t>
        </is>
      </c>
      <c r="E227" t="inlineStr">
        <is>
          <t>AVESTA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23146-2025</t>
        </is>
      </c>
      <c r="B228" s="1" t="n">
        <v>45791</v>
      </c>
      <c r="C228" s="1" t="n">
        <v>46197</v>
      </c>
      <c r="D228" t="inlineStr">
        <is>
          <t>DALARNAS LÄN</t>
        </is>
      </c>
      <c r="E228" t="inlineStr">
        <is>
          <t>AVESTA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36132-2025</t>
        </is>
      </c>
      <c r="B229" s="1" t="n">
        <v>45866</v>
      </c>
      <c r="C229" s="1" t="n">
        <v>46197</v>
      </c>
      <c r="D229" t="inlineStr">
        <is>
          <t>DALARNAS LÄN</t>
        </is>
      </c>
      <c r="E229" t="inlineStr">
        <is>
          <t>AVESTA</t>
        </is>
      </c>
      <c r="G229" t="n">
        <v>10.6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25927-2026</t>
        </is>
      </c>
      <c r="B230" s="1" t="n">
        <v>46178</v>
      </c>
      <c r="C230" s="1" t="n">
        <v>46197</v>
      </c>
      <c r="D230" t="inlineStr">
        <is>
          <t>DALARNAS LÄN</t>
        </is>
      </c>
      <c r="E230" t="inlineStr">
        <is>
          <t>AVESTA</t>
        </is>
      </c>
      <c r="F230" t="inlineStr">
        <is>
          <t>Sveaskog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8785-2022</t>
        </is>
      </c>
      <c r="B231" s="1" t="n">
        <v>44614</v>
      </c>
      <c r="C231" s="1" t="n">
        <v>46197</v>
      </c>
      <c r="D231" t="inlineStr">
        <is>
          <t>DALARNAS LÄN</t>
        </is>
      </c>
      <c r="E231" t="inlineStr">
        <is>
          <t>AVESTA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29468-2022</t>
        </is>
      </c>
      <c r="B232" s="1" t="n">
        <v>44753</v>
      </c>
      <c r="C232" s="1" t="n">
        <v>46197</v>
      </c>
      <c r="D232" t="inlineStr">
        <is>
          <t>DALARNAS LÄN</t>
        </is>
      </c>
      <c r="E232" t="inlineStr">
        <is>
          <t>AVESTA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53820-2023</t>
        </is>
      </c>
      <c r="B233" s="1" t="n">
        <v>45231</v>
      </c>
      <c r="C233" s="1" t="n">
        <v>46197</v>
      </c>
      <c r="D233" t="inlineStr">
        <is>
          <t>DALARNAS LÄN</t>
        </is>
      </c>
      <c r="E233" t="inlineStr">
        <is>
          <t>AVESTA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26337-2026</t>
        </is>
      </c>
      <c r="B234" s="1" t="n">
        <v>46182</v>
      </c>
      <c r="C234" s="1" t="n">
        <v>46197</v>
      </c>
      <c r="D234" t="inlineStr">
        <is>
          <t>DALARNAS LÄN</t>
        </is>
      </c>
      <c r="E234" t="inlineStr">
        <is>
          <t>AVESTA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63434-2023</t>
        </is>
      </c>
      <c r="B235" s="1" t="n">
        <v>45274</v>
      </c>
      <c r="C235" s="1" t="n">
        <v>46197</v>
      </c>
      <c r="D235" t="inlineStr">
        <is>
          <t>DALARNAS LÄN</t>
        </is>
      </c>
      <c r="E235" t="inlineStr">
        <is>
          <t>AVESTA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32113-2024</t>
        </is>
      </c>
      <c r="B236" s="1" t="n">
        <v>45511</v>
      </c>
      <c r="C236" s="1" t="n">
        <v>46197</v>
      </c>
      <c r="D236" t="inlineStr">
        <is>
          <t>DALARNAS LÄN</t>
        </is>
      </c>
      <c r="E236" t="inlineStr">
        <is>
          <t>AVESTA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38441-2023</t>
        </is>
      </c>
      <c r="B237" s="1" t="n">
        <v>45162</v>
      </c>
      <c r="C237" s="1" t="n">
        <v>46197</v>
      </c>
      <c r="D237" t="inlineStr">
        <is>
          <t>DALARNAS LÄN</t>
        </is>
      </c>
      <c r="E237" t="inlineStr">
        <is>
          <t>AVESTA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46315-2023</t>
        </is>
      </c>
      <c r="B238" s="1" t="n">
        <v>45191</v>
      </c>
      <c r="C238" s="1" t="n">
        <v>46197</v>
      </c>
      <c r="D238" t="inlineStr">
        <is>
          <t>DALARNAS LÄN</t>
        </is>
      </c>
      <c r="E238" t="inlineStr">
        <is>
          <t>AVESTA</t>
        </is>
      </c>
      <c r="F238" t="inlineStr">
        <is>
          <t>Bergvik skog väst AB</t>
        </is>
      </c>
      <c r="G238" t="n">
        <v>12.2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19359-2025</t>
        </is>
      </c>
      <c r="B239" s="1" t="n">
        <v>45769</v>
      </c>
      <c r="C239" s="1" t="n">
        <v>46197</v>
      </c>
      <c r="D239" t="inlineStr">
        <is>
          <t>DALARNAS LÄN</t>
        </is>
      </c>
      <c r="E239" t="inlineStr">
        <is>
          <t>AVESTA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43283-2025</t>
        </is>
      </c>
      <c r="B240" s="1" t="n">
        <v>45910</v>
      </c>
      <c r="C240" s="1" t="n">
        <v>46197</v>
      </c>
      <c r="D240" t="inlineStr">
        <is>
          <t>DALARNAS LÄN</t>
        </is>
      </c>
      <c r="E240" t="inlineStr">
        <is>
          <t>AVESTA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62040-2023</t>
        </is>
      </c>
      <c r="B241" s="1" t="n">
        <v>45266</v>
      </c>
      <c r="C241" s="1" t="n">
        <v>46197</v>
      </c>
      <c r="D241" t="inlineStr">
        <is>
          <t>DALARNAS LÄN</t>
        </is>
      </c>
      <c r="E241" t="inlineStr">
        <is>
          <t>AVESTA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59932-2023</t>
        </is>
      </c>
      <c r="B242" s="1" t="n">
        <v>45257</v>
      </c>
      <c r="C242" s="1" t="n">
        <v>46197</v>
      </c>
      <c r="D242" t="inlineStr">
        <is>
          <t>DALARNAS LÄN</t>
        </is>
      </c>
      <c r="E242" t="inlineStr">
        <is>
          <t>AVESTA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26769-2026</t>
        </is>
      </c>
      <c r="B243" s="1" t="n">
        <v>46184</v>
      </c>
      <c r="C243" s="1" t="n">
        <v>46197</v>
      </c>
      <c r="D243" t="inlineStr">
        <is>
          <t>DALARNAS LÄN</t>
        </is>
      </c>
      <c r="E243" t="inlineStr">
        <is>
          <t>AVESTA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28108-2022</t>
        </is>
      </c>
      <c r="B244" s="1" t="n">
        <v>44746</v>
      </c>
      <c r="C244" s="1" t="n">
        <v>46197</v>
      </c>
      <c r="D244" t="inlineStr">
        <is>
          <t>DALARNAS LÄN</t>
        </is>
      </c>
      <c r="E244" t="inlineStr">
        <is>
          <t>AVESTA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26391-2026</t>
        </is>
      </c>
      <c r="B245" s="1" t="n">
        <v>46183</v>
      </c>
      <c r="C245" s="1" t="n">
        <v>46197</v>
      </c>
      <c r="D245" t="inlineStr">
        <is>
          <t>DALARNAS LÄN</t>
        </is>
      </c>
      <c r="E245" t="inlineStr">
        <is>
          <t>AVESTA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4747-2024</t>
        </is>
      </c>
      <c r="B246" s="1" t="n">
        <v>45328</v>
      </c>
      <c r="C246" s="1" t="n">
        <v>46197</v>
      </c>
      <c r="D246" t="inlineStr">
        <is>
          <t>DALARNAS LÄN</t>
        </is>
      </c>
      <c r="E246" t="inlineStr">
        <is>
          <t>AVESTA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20745-2026</t>
        </is>
      </c>
      <c r="B247" s="1" t="n">
        <v>46141</v>
      </c>
      <c r="C247" s="1" t="n">
        <v>46197</v>
      </c>
      <c r="D247" t="inlineStr">
        <is>
          <t>DALARNAS LÄN</t>
        </is>
      </c>
      <c r="E247" t="inlineStr">
        <is>
          <t>AVESTA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21027-2026</t>
        </is>
      </c>
      <c r="B248" s="1" t="n">
        <v>46146</v>
      </c>
      <c r="C248" s="1" t="n">
        <v>46197</v>
      </c>
      <c r="D248" t="inlineStr">
        <is>
          <t>DALARNAS LÄN</t>
        </is>
      </c>
      <c r="E248" t="inlineStr">
        <is>
          <t>AVESTA</t>
        </is>
      </c>
      <c r="F248" t="inlineStr">
        <is>
          <t>Sveaskog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26816-2026</t>
        </is>
      </c>
      <c r="B249" s="1" t="n">
        <v>46185</v>
      </c>
      <c r="C249" s="1" t="n">
        <v>46197</v>
      </c>
      <c r="D249" t="inlineStr">
        <is>
          <t>DALARNAS LÄN</t>
        </is>
      </c>
      <c r="E249" t="inlineStr">
        <is>
          <t>AVESTA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7617-2024</t>
        </is>
      </c>
      <c r="B250" s="1" t="n">
        <v>45348</v>
      </c>
      <c r="C250" s="1" t="n">
        <v>46197</v>
      </c>
      <c r="D250" t="inlineStr">
        <is>
          <t>DALARNAS LÄN</t>
        </is>
      </c>
      <c r="E250" t="inlineStr">
        <is>
          <t>AVESTA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61585-2023</t>
        </is>
      </c>
      <c r="B251" s="1" t="n">
        <v>45265</v>
      </c>
      <c r="C251" s="1" t="n">
        <v>46197</v>
      </c>
      <c r="D251" t="inlineStr">
        <is>
          <t>DALARNAS LÄN</t>
        </is>
      </c>
      <c r="E251" t="inlineStr">
        <is>
          <t>AVESTA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21028-2026</t>
        </is>
      </c>
      <c r="B252" s="1" t="n">
        <v>46146</v>
      </c>
      <c r="C252" s="1" t="n">
        <v>46197</v>
      </c>
      <c r="D252" t="inlineStr">
        <is>
          <t>DALARNAS LÄN</t>
        </is>
      </c>
      <c r="E252" t="inlineStr">
        <is>
          <t>AVESTA</t>
        </is>
      </c>
      <c r="F252" t="inlineStr">
        <is>
          <t>Sveaskog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62565-2023</t>
        </is>
      </c>
      <c r="B253" s="1" t="n">
        <v>45269</v>
      </c>
      <c r="C253" s="1" t="n">
        <v>46197</v>
      </c>
      <c r="D253" t="inlineStr">
        <is>
          <t>DALARNAS LÄN</t>
        </is>
      </c>
      <c r="E253" t="inlineStr">
        <is>
          <t>AVESTA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52767-2022</t>
        </is>
      </c>
      <c r="B254" s="1" t="n">
        <v>44875</v>
      </c>
      <c r="C254" s="1" t="n">
        <v>46197</v>
      </c>
      <c r="D254" t="inlineStr">
        <is>
          <t>DALARNAS LÄN</t>
        </is>
      </c>
      <c r="E254" t="inlineStr">
        <is>
          <t>AVESTA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30736-2024</t>
        </is>
      </c>
      <c r="B255" s="1" t="n">
        <v>45496</v>
      </c>
      <c r="C255" s="1" t="n">
        <v>46197</v>
      </c>
      <c r="D255" t="inlineStr">
        <is>
          <t>DALARNAS LÄN</t>
        </is>
      </c>
      <c r="E255" t="inlineStr">
        <is>
          <t>AVESTA</t>
        </is>
      </c>
      <c r="F255" t="inlineStr">
        <is>
          <t>Sveaskog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30739-2024</t>
        </is>
      </c>
      <c r="B256" s="1" t="n">
        <v>45496</v>
      </c>
      <c r="C256" s="1" t="n">
        <v>46197</v>
      </c>
      <c r="D256" t="inlineStr">
        <is>
          <t>DALARNAS LÄN</t>
        </is>
      </c>
      <c r="E256" t="inlineStr">
        <is>
          <t>AVESTA</t>
        </is>
      </c>
      <c r="F256" t="inlineStr">
        <is>
          <t>Sveaskog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62022-2023</t>
        </is>
      </c>
      <c r="B257" s="1" t="n">
        <v>45266</v>
      </c>
      <c r="C257" s="1" t="n">
        <v>46197</v>
      </c>
      <c r="D257" t="inlineStr">
        <is>
          <t>DALARNAS LÄN</t>
        </is>
      </c>
      <c r="E257" t="inlineStr">
        <is>
          <t>AVESTA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10570-2025</t>
        </is>
      </c>
      <c r="B258" s="1" t="n">
        <v>45721</v>
      </c>
      <c r="C258" s="1" t="n">
        <v>46197</v>
      </c>
      <c r="D258" t="inlineStr">
        <is>
          <t>DALARNAS LÄN</t>
        </is>
      </c>
      <c r="E258" t="inlineStr">
        <is>
          <t>AVESTA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25665-2025</t>
        </is>
      </c>
      <c r="B259" s="1" t="n">
        <v>45803</v>
      </c>
      <c r="C259" s="1" t="n">
        <v>46197</v>
      </c>
      <c r="D259" t="inlineStr">
        <is>
          <t>DALARNAS LÄN</t>
        </is>
      </c>
      <c r="E259" t="inlineStr">
        <is>
          <t>AVESTA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19674-2026</t>
        </is>
      </c>
      <c r="B260" s="1" t="n">
        <v>46134</v>
      </c>
      <c r="C260" s="1" t="n">
        <v>46197</v>
      </c>
      <c r="D260" t="inlineStr">
        <is>
          <t>DALARNAS LÄN</t>
        </is>
      </c>
      <c r="E260" t="inlineStr">
        <is>
          <t>AVESTA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28227-2026</t>
        </is>
      </c>
      <c r="B261" s="1" t="n">
        <v>46196</v>
      </c>
      <c r="C261" s="1" t="n">
        <v>46197</v>
      </c>
      <c r="D261" t="inlineStr">
        <is>
          <t>DALARNAS LÄN</t>
        </is>
      </c>
      <c r="E261" t="inlineStr">
        <is>
          <t>AVESTA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42291-2024</t>
        </is>
      </c>
      <c r="B262" s="1" t="n">
        <v>45562</v>
      </c>
      <c r="C262" s="1" t="n">
        <v>46197</v>
      </c>
      <c r="D262" t="inlineStr">
        <is>
          <t>DALARNAS LÄN</t>
        </is>
      </c>
      <c r="E262" t="inlineStr">
        <is>
          <t>AVESTA</t>
        </is>
      </c>
      <c r="F262" t="inlineStr">
        <is>
          <t>Sveaskog</t>
        </is>
      </c>
      <c r="G262" t="n">
        <v>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26527-2022</t>
        </is>
      </c>
      <c r="B263" s="1" t="n">
        <v>44739</v>
      </c>
      <c r="C263" s="1" t="n">
        <v>46197</v>
      </c>
      <c r="D263" t="inlineStr">
        <is>
          <t>DALARNAS LÄN</t>
        </is>
      </c>
      <c r="E263" t="inlineStr">
        <is>
          <t>AVESTA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22816-2023</t>
        </is>
      </c>
      <c r="B264" s="1" t="n">
        <v>45072</v>
      </c>
      <c r="C264" s="1" t="n">
        <v>46197</v>
      </c>
      <c r="D264" t="inlineStr">
        <is>
          <t>DALARNAS LÄN</t>
        </is>
      </c>
      <c r="E264" t="inlineStr">
        <is>
          <t>AVESTA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3806-2022</t>
        </is>
      </c>
      <c r="B265" s="1" t="n">
        <v>44587</v>
      </c>
      <c r="C265" s="1" t="n">
        <v>46197</v>
      </c>
      <c r="D265" t="inlineStr">
        <is>
          <t>DALARNAS LÄN</t>
        </is>
      </c>
      <c r="E265" t="inlineStr">
        <is>
          <t>AVESTA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50863-2021</t>
        </is>
      </c>
      <c r="B266" s="1" t="n">
        <v>44460</v>
      </c>
      <c r="C266" s="1" t="n">
        <v>46197</v>
      </c>
      <c r="D266" t="inlineStr">
        <is>
          <t>DALARNAS LÄN</t>
        </is>
      </c>
      <c r="E266" t="inlineStr">
        <is>
          <t>AVESTA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49286-2023</t>
        </is>
      </c>
      <c r="B267" s="1" t="n">
        <v>45210</v>
      </c>
      <c r="C267" s="1" t="n">
        <v>46197</v>
      </c>
      <c r="D267" t="inlineStr">
        <is>
          <t>DALARNAS LÄN</t>
        </is>
      </c>
      <c r="E267" t="inlineStr">
        <is>
          <t>AVESTA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34925-2024</t>
        </is>
      </c>
      <c r="B268" s="1" t="n">
        <v>45527</v>
      </c>
      <c r="C268" s="1" t="n">
        <v>46197</v>
      </c>
      <c r="D268" t="inlineStr">
        <is>
          <t>DALARNAS LÄN</t>
        </is>
      </c>
      <c r="E268" t="inlineStr">
        <is>
          <t>AVESTA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18042-2023</t>
        </is>
      </c>
      <c r="B269" s="1" t="n">
        <v>45040</v>
      </c>
      <c r="C269" s="1" t="n">
        <v>46197</v>
      </c>
      <c r="D269" t="inlineStr">
        <is>
          <t>DALARNAS LÄN</t>
        </is>
      </c>
      <c r="E269" t="inlineStr">
        <is>
          <t>AVESTA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44848-2023</t>
        </is>
      </c>
      <c r="B270" s="1" t="n">
        <v>45190</v>
      </c>
      <c r="C270" s="1" t="n">
        <v>46197</v>
      </c>
      <c r="D270" t="inlineStr">
        <is>
          <t>DALARNAS LÄN</t>
        </is>
      </c>
      <c r="E270" t="inlineStr">
        <is>
          <t>AVESTA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18679-2022</t>
        </is>
      </c>
      <c r="B271" s="1" t="n">
        <v>44687</v>
      </c>
      <c r="C271" s="1" t="n">
        <v>46197</v>
      </c>
      <c r="D271" t="inlineStr">
        <is>
          <t>DALARNAS LÄN</t>
        </is>
      </c>
      <c r="E271" t="inlineStr">
        <is>
          <t>AVESTA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21412-2023</t>
        </is>
      </c>
      <c r="B272" s="1" t="n">
        <v>45058</v>
      </c>
      <c r="C272" s="1" t="n">
        <v>46197</v>
      </c>
      <c r="D272" t="inlineStr">
        <is>
          <t>DALARNAS LÄN</t>
        </is>
      </c>
      <c r="E272" t="inlineStr">
        <is>
          <t>AVESTA</t>
        </is>
      </c>
      <c r="F272" t="inlineStr">
        <is>
          <t>Bergvik skog väst AB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50001-2024</t>
        </is>
      </c>
      <c r="B273" s="1" t="n">
        <v>45598</v>
      </c>
      <c r="C273" s="1" t="n">
        <v>46197</v>
      </c>
      <c r="D273" t="inlineStr">
        <is>
          <t>DALARNAS LÄN</t>
        </is>
      </c>
      <c r="E273" t="inlineStr">
        <is>
          <t>AVESTA</t>
        </is>
      </c>
      <c r="F273" t="inlineStr">
        <is>
          <t>Sveaskog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46672-2024</t>
        </is>
      </c>
      <c r="B274" s="1" t="n">
        <v>45583</v>
      </c>
      <c r="C274" s="1" t="n">
        <v>46197</v>
      </c>
      <c r="D274" t="inlineStr">
        <is>
          <t>DALARNAS LÄN</t>
        </is>
      </c>
      <c r="E274" t="inlineStr">
        <is>
          <t>AVESTA</t>
        </is>
      </c>
      <c r="F274" t="inlineStr">
        <is>
          <t>Sveaskog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48623-2024</t>
        </is>
      </c>
      <c r="B275" s="1" t="n">
        <v>45593</v>
      </c>
      <c r="C275" s="1" t="n">
        <v>46197</v>
      </c>
      <c r="D275" t="inlineStr">
        <is>
          <t>DALARNAS LÄN</t>
        </is>
      </c>
      <c r="E275" t="inlineStr">
        <is>
          <t>AVESTA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20705-2023</t>
        </is>
      </c>
      <c r="B276" s="1" t="n">
        <v>45058</v>
      </c>
      <c r="C276" s="1" t="n">
        <v>46197</v>
      </c>
      <c r="D276" t="inlineStr">
        <is>
          <t>DALARNAS LÄN</t>
        </is>
      </c>
      <c r="E276" t="inlineStr">
        <is>
          <t>AVESTA</t>
        </is>
      </c>
      <c r="G276" t="n">
        <v>17.6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3194-2024</t>
        </is>
      </c>
      <c r="B277" s="1" t="n">
        <v>45316</v>
      </c>
      <c r="C277" s="1" t="n">
        <v>46197</v>
      </c>
      <c r="D277" t="inlineStr">
        <is>
          <t>DALARNAS LÄN</t>
        </is>
      </c>
      <c r="E277" t="inlineStr">
        <is>
          <t>AVESTA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13009-2025</t>
        </is>
      </c>
      <c r="B278" s="1" t="n">
        <v>45734</v>
      </c>
      <c r="C278" s="1" t="n">
        <v>46197</v>
      </c>
      <c r="D278" t="inlineStr">
        <is>
          <t>DALARNAS LÄN</t>
        </is>
      </c>
      <c r="E278" t="inlineStr">
        <is>
          <t>AVESTA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46679-2024</t>
        </is>
      </c>
      <c r="B279" s="1" t="n">
        <v>45583</v>
      </c>
      <c r="C279" s="1" t="n">
        <v>46197</v>
      </c>
      <c r="D279" t="inlineStr">
        <is>
          <t>DALARNAS LÄN</t>
        </is>
      </c>
      <c r="E279" t="inlineStr">
        <is>
          <t>AVESTA</t>
        </is>
      </c>
      <c r="F279" t="inlineStr">
        <is>
          <t>Sveaskog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63316-2023</t>
        </is>
      </c>
      <c r="B280" s="1" t="n">
        <v>45273</v>
      </c>
      <c r="C280" s="1" t="n">
        <v>46197</v>
      </c>
      <c r="D280" t="inlineStr">
        <is>
          <t>DALARNAS LÄN</t>
        </is>
      </c>
      <c r="E280" t="inlineStr">
        <is>
          <t>AVESTA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13983-2023</t>
        </is>
      </c>
      <c r="B281" s="1" t="n">
        <v>45008</v>
      </c>
      <c r="C281" s="1" t="n">
        <v>46197</v>
      </c>
      <c r="D281" t="inlineStr">
        <is>
          <t>DALARNAS LÄN</t>
        </is>
      </c>
      <c r="E281" t="inlineStr">
        <is>
          <t>AVESTA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14027-2023</t>
        </is>
      </c>
      <c r="B282" s="1" t="n">
        <v>45007</v>
      </c>
      <c r="C282" s="1" t="n">
        <v>46197</v>
      </c>
      <c r="D282" t="inlineStr">
        <is>
          <t>DALARNAS LÄN</t>
        </is>
      </c>
      <c r="E282" t="inlineStr">
        <is>
          <t>AVESTA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58812-2023</t>
        </is>
      </c>
      <c r="B283" s="1" t="n">
        <v>45252</v>
      </c>
      <c r="C283" s="1" t="n">
        <v>46197</v>
      </c>
      <c r="D283" t="inlineStr">
        <is>
          <t>DALARNAS LÄN</t>
        </is>
      </c>
      <c r="E283" t="inlineStr">
        <is>
          <t>AVESTA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8523-2023</t>
        </is>
      </c>
      <c r="B284" s="1" t="n">
        <v>44977</v>
      </c>
      <c r="C284" s="1" t="n">
        <v>46197</v>
      </c>
      <c r="D284" t="inlineStr">
        <is>
          <t>DALARNAS LÄN</t>
        </is>
      </c>
      <c r="E284" t="inlineStr">
        <is>
          <t>AVESTA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14021-2023</t>
        </is>
      </c>
      <c r="B285" s="1" t="n">
        <v>45007</v>
      </c>
      <c r="C285" s="1" t="n">
        <v>46197</v>
      </c>
      <c r="D285" t="inlineStr">
        <is>
          <t>DALARNAS LÄN</t>
        </is>
      </c>
      <c r="E285" t="inlineStr">
        <is>
          <t>AVESTA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37534-2022</t>
        </is>
      </c>
      <c r="B286" s="1" t="n">
        <v>44809</v>
      </c>
      <c r="C286" s="1" t="n">
        <v>46197</v>
      </c>
      <c r="D286" t="inlineStr">
        <is>
          <t>DALARNAS LÄN</t>
        </is>
      </c>
      <c r="E286" t="inlineStr">
        <is>
          <t>AVESTA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63519-2021</t>
        </is>
      </c>
      <c r="B287" s="1" t="n">
        <v>44508</v>
      </c>
      <c r="C287" s="1" t="n">
        <v>46197</v>
      </c>
      <c r="D287" t="inlineStr">
        <is>
          <t>DALARNAS LÄN</t>
        </is>
      </c>
      <c r="E287" t="inlineStr">
        <is>
          <t>AVESTA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31430-2024</t>
        </is>
      </c>
      <c r="B288" s="1" t="n">
        <v>45505</v>
      </c>
      <c r="C288" s="1" t="n">
        <v>46197</v>
      </c>
      <c r="D288" t="inlineStr">
        <is>
          <t>DALARNAS LÄN</t>
        </is>
      </c>
      <c r="E288" t="inlineStr">
        <is>
          <t>AVESTA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3690-2024</t>
        </is>
      </c>
      <c r="B289" s="1" t="n">
        <v>45321</v>
      </c>
      <c r="C289" s="1" t="n">
        <v>46197</v>
      </c>
      <c r="D289" t="inlineStr">
        <is>
          <t>DALARNAS LÄN</t>
        </is>
      </c>
      <c r="E289" t="inlineStr">
        <is>
          <t>AVESTA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7493-2023</t>
        </is>
      </c>
      <c r="B290" s="1" t="n">
        <v>44971</v>
      </c>
      <c r="C290" s="1" t="n">
        <v>46197</v>
      </c>
      <c r="D290" t="inlineStr">
        <is>
          <t>DALARNAS LÄN</t>
        </is>
      </c>
      <c r="E290" t="inlineStr">
        <is>
          <t>AVESTA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32768-2023</t>
        </is>
      </c>
      <c r="B291" s="1" t="n">
        <v>45123</v>
      </c>
      <c r="C291" s="1" t="n">
        <v>46197</v>
      </c>
      <c r="D291" t="inlineStr">
        <is>
          <t>DALARNAS LÄN</t>
        </is>
      </c>
      <c r="E291" t="inlineStr">
        <is>
          <t>AVESTA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32771-2023</t>
        </is>
      </c>
      <c r="B292" s="1" t="n">
        <v>45123</v>
      </c>
      <c r="C292" s="1" t="n">
        <v>46197</v>
      </c>
      <c r="D292" t="inlineStr">
        <is>
          <t>DALARNAS LÄN</t>
        </is>
      </c>
      <c r="E292" t="inlineStr">
        <is>
          <t>AVESTA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61507-2024</t>
        </is>
      </c>
      <c r="B293" s="1" t="n">
        <v>45646</v>
      </c>
      <c r="C293" s="1" t="n">
        <v>46197</v>
      </c>
      <c r="D293" t="inlineStr">
        <is>
          <t>DALARNAS LÄN</t>
        </is>
      </c>
      <c r="E293" t="inlineStr">
        <is>
          <t>AVESTA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21322-2023</t>
        </is>
      </c>
      <c r="B294" s="1" t="n">
        <v>45058</v>
      </c>
      <c r="C294" s="1" t="n">
        <v>46197</v>
      </c>
      <c r="D294" t="inlineStr">
        <is>
          <t>DALARNAS LÄN</t>
        </is>
      </c>
      <c r="E294" t="inlineStr">
        <is>
          <t>AVESTA</t>
        </is>
      </c>
      <c r="F294" t="inlineStr">
        <is>
          <t>Bergvik skog väst AB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5689-2025</t>
        </is>
      </c>
      <c r="B295" s="1" t="n">
        <v>45694</v>
      </c>
      <c r="C295" s="1" t="n">
        <v>46197</v>
      </c>
      <c r="D295" t="inlineStr">
        <is>
          <t>DALARNAS LÄN</t>
        </is>
      </c>
      <c r="E295" t="inlineStr">
        <is>
          <t>AVESTA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36961-2024</t>
        </is>
      </c>
      <c r="B296" s="1" t="n">
        <v>45538</v>
      </c>
      <c r="C296" s="1" t="n">
        <v>46197</v>
      </c>
      <c r="D296" t="inlineStr">
        <is>
          <t>DALARNAS LÄN</t>
        </is>
      </c>
      <c r="E296" t="inlineStr">
        <is>
          <t>AVESTA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56721-2024</t>
        </is>
      </c>
      <c r="B297" s="1" t="n">
        <v>45628</v>
      </c>
      <c r="C297" s="1" t="n">
        <v>46197</v>
      </c>
      <c r="D297" t="inlineStr">
        <is>
          <t>DALARNAS LÄN</t>
        </is>
      </c>
      <c r="E297" t="inlineStr">
        <is>
          <t>AVESTA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20942-2025</t>
        </is>
      </c>
      <c r="B298" s="1" t="n">
        <v>45777</v>
      </c>
      <c r="C298" s="1" t="n">
        <v>46197</v>
      </c>
      <c r="D298" t="inlineStr">
        <is>
          <t>DALARNAS LÄN</t>
        </is>
      </c>
      <c r="E298" t="inlineStr">
        <is>
          <t>AVESTA</t>
        </is>
      </c>
      <c r="F298" t="inlineStr">
        <is>
          <t>Sveaskog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10779-2024</t>
        </is>
      </c>
      <c r="B299" s="1" t="n">
        <v>45369</v>
      </c>
      <c r="C299" s="1" t="n">
        <v>46197</v>
      </c>
      <c r="D299" t="inlineStr">
        <is>
          <t>DALARNAS LÄN</t>
        </is>
      </c>
      <c r="E299" t="inlineStr">
        <is>
          <t>AVESTA</t>
        </is>
      </c>
      <c r="G299" t="n">
        <v>6.7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15923-2024</t>
        </is>
      </c>
      <c r="B300" s="1" t="n">
        <v>45405</v>
      </c>
      <c r="C300" s="1" t="n">
        <v>46197</v>
      </c>
      <c r="D300" t="inlineStr">
        <is>
          <t>DALARNAS LÄN</t>
        </is>
      </c>
      <c r="E300" t="inlineStr">
        <is>
          <t>AVESTA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40049-2024</t>
        </is>
      </c>
      <c r="B301" s="1" t="n">
        <v>45553</v>
      </c>
      <c r="C301" s="1" t="n">
        <v>46197</v>
      </c>
      <c r="D301" t="inlineStr">
        <is>
          <t>DALARNAS LÄN</t>
        </is>
      </c>
      <c r="E301" t="inlineStr">
        <is>
          <t>AVESTA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3195-2024</t>
        </is>
      </c>
      <c r="B302" s="1" t="n">
        <v>45316</v>
      </c>
      <c r="C302" s="1" t="n">
        <v>46197</v>
      </c>
      <c r="D302" t="inlineStr">
        <is>
          <t>DALARNAS LÄN</t>
        </is>
      </c>
      <c r="E302" t="inlineStr">
        <is>
          <t>AVESTA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31921-2024</t>
        </is>
      </c>
      <c r="B303" s="1" t="n">
        <v>45510</v>
      </c>
      <c r="C303" s="1" t="n">
        <v>46197</v>
      </c>
      <c r="D303" t="inlineStr">
        <is>
          <t>DALARNAS LÄN</t>
        </is>
      </c>
      <c r="E303" t="inlineStr">
        <is>
          <t>AVESTA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23568-2025</t>
        </is>
      </c>
      <c r="B304" s="1" t="n">
        <v>45792</v>
      </c>
      <c r="C304" s="1" t="n">
        <v>46197</v>
      </c>
      <c r="D304" t="inlineStr">
        <is>
          <t>DALARNAS LÄN</t>
        </is>
      </c>
      <c r="E304" t="inlineStr">
        <is>
          <t>AVESTA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23200-2025</t>
        </is>
      </c>
      <c r="B305" s="1" t="n">
        <v>45791</v>
      </c>
      <c r="C305" s="1" t="n">
        <v>46197</v>
      </c>
      <c r="D305" t="inlineStr">
        <is>
          <t>DALARNAS LÄN</t>
        </is>
      </c>
      <c r="E305" t="inlineStr">
        <is>
          <t>AVESTA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32254-2021</t>
        </is>
      </c>
      <c r="B306" s="1" t="n">
        <v>44371</v>
      </c>
      <c r="C306" s="1" t="n">
        <v>46197</v>
      </c>
      <c r="D306" t="inlineStr">
        <is>
          <t>DALARNAS LÄN</t>
        </is>
      </c>
      <c r="E306" t="inlineStr">
        <is>
          <t>AVESTA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15925-2024</t>
        </is>
      </c>
      <c r="B307" s="1" t="n">
        <v>45405</v>
      </c>
      <c r="C307" s="1" t="n">
        <v>46197</v>
      </c>
      <c r="D307" t="inlineStr">
        <is>
          <t>DALARNAS LÄN</t>
        </is>
      </c>
      <c r="E307" t="inlineStr">
        <is>
          <t>AVESTA</t>
        </is>
      </c>
      <c r="G307" t="n">
        <v>13.7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12167-2023</t>
        </is>
      </c>
      <c r="B308" s="1" t="n">
        <v>44998</v>
      </c>
      <c r="C308" s="1" t="n">
        <v>46197</v>
      </c>
      <c r="D308" t="inlineStr">
        <is>
          <t>DALARNAS LÄN</t>
        </is>
      </c>
      <c r="E308" t="inlineStr">
        <is>
          <t>AVESTA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7320-2025</t>
        </is>
      </c>
      <c r="B309" s="1" t="n">
        <v>45702</v>
      </c>
      <c r="C309" s="1" t="n">
        <v>46197</v>
      </c>
      <c r="D309" t="inlineStr">
        <is>
          <t>DALARNAS LÄN</t>
        </is>
      </c>
      <c r="E309" t="inlineStr">
        <is>
          <t>AVESTA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55384-2023</t>
        </is>
      </c>
      <c r="B310" s="1" t="n">
        <v>45238</v>
      </c>
      <c r="C310" s="1" t="n">
        <v>46197</v>
      </c>
      <c r="D310" t="inlineStr">
        <is>
          <t>DALARNAS LÄN</t>
        </is>
      </c>
      <c r="E310" t="inlineStr">
        <is>
          <t>AVESTA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24147-2025</t>
        </is>
      </c>
      <c r="B311" s="1" t="n">
        <v>45796</v>
      </c>
      <c r="C311" s="1" t="n">
        <v>46197</v>
      </c>
      <c r="D311" t="inlineStr">
        <is>
          <t>DALARNAS LÄN</t>
        </is>
      </c>
      <c r="E311" t="inlineStr">
        <is>
          <t>AVESTA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24195-2025</t>
        </is>
      </c>
      <c r="B312" s="1" t="n">
        <v>45796</v>
      </c>
      <c r="C312" s="1" t="n">
        <v>46197</v>
      </c>
      <c r="D312" t="inlineStr">
        <is>
          <t>DALARNAS LÄN</t>
        </is>
      </c>
      <c r="E312" t="inlineStr">
        <is>
          <t>AVESTA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24197-2025</t>
        </is>
      </c>
      <c r="B313" s="1" t="n">
        <v>45796</v>
      </c>
      <c r="C313" s="1" t="n">
        <v>46197</v>
      </c>
      <c r="D313" t="inlineStr">
        <is>
          <t>DALARNAS LÄN</t>
        </is>
      </c>
      <c r="E313" t="inlineStr">
        <is>
          <t>AVESTA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24199-2025</t>
        </is>
      </c>
      <c r="B314" s="1" t="n">
        <v>45796</v>
      </c>
      <c r="C314" s="1" t="n">
        <v>46197</v>
      </c>
      <c r="D314" t="inlineStr">
        <is>
          <t>DALARNAS LÄN</t>
        </is>
      </c>
      <c r="E314" t="inlineStr">
        <is>
          <t>AVESTA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62093-2024</t>
        </is>
      </c>
      <c r="B315" s="1" t="n">
        <v>45656</v>
      </c>
      <c r="C315" s="1" t="n">
        <v>46197</v>
      </c>
      <c r="D315" t="inlineStr">
        <is>
          <t>DALARNAS LÄN</t>
        </is>
      </c>
      <c r="E315" t="inlineStr">
        <is>
          <t>AVESTA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31387-2024</t>
        </is>
      </c>
      <c r="B316" s="1" t="n">
        <v>45505</v>
      </c>
      <c r="C316" s="1" t="n">
        <v>46197</v>
      </c>
      <c r="D316" t="inlineStr">
        <is>
          <t>DALARNAS LÄN</t>
        </is>
      </c>
      <c r="E316" t="inlineStr">
        <is>
          <t>AVESTA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24834-2025</t>
        </is>
      </c>
      <c r="B317" s="1" t="n">
        <v>45799</v>
      </c>
      <c r="C317" s="1" t="n">
        <v>46197</v>
      </c>
      <c r="D317" t="inlineStr">
        <is>
          <t>DALARNAS LÄN</t>
        </is>
      </c>
      <c r="E317" t="inlineStr">
        <is>
          <t>AVESTA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24867-2025</t>
        </is>
      </c>
      <c r="B318" s="1" t="n">
        <v>45799</v>
      </c>
      <c r="C318" s="1" t="n">
        <v>46197</v>
      </c>
      <c r="D318" t="inlineStr">
        <is>
          <t>DALARNAS LÄN</t>
        </is>
      </c>
      <c r="E318" t="inlineStr">
        <is>
          <t>AVESTA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24838-2025</t>
        </is>
      </c>
      <c r="B319" s="1" t="n">
        <v>45799</v>
      </c>
      <c r="C319" s="1" t="n">
        <v>46197</v>
      </c>
      <c r="D319" t="inlineStr">
        <is>
          <t>DALARNAS LÄN</t>
        </is>
      </c>
      <c r="E319" t="inlineStr">
        <is>
          <t>AVESTA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>
      <c r="A320" t="inlineStr">
        <is>
          <t>A 24845-2025</t>
        </is>
      </c>
      <c r="B320" s="1" t="n">
        <v>45799</v>
      </c>
      <c r="C320" s="1" t="n">
        <v>46197</v>
      </c>
      <c r="D320" t="inlineStr">
        <is>
          <t>DALARNAS LÄN</t>
        </is>
      </c>
      <c r="E320" t="inlineStr">
        <is>
          <t>AVESTA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2026-06-24T00:48:55Z</dcterms:created>
  <dcterms:modified xmlns:dcterms="http://purl.org/dc/terms/" xmlns:xsi="http://www.w3.org/2001/XMLSchema-instance" xsi:type="dcterms:W3CDTF">2026-06-24T00:48:56Z</dcterms:modified>
</cp:coreProperties>
</file>