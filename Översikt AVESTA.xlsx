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45646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45646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45646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45646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45646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45646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45646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45646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45646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45646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45646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45646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45646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45646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31017-2022</t>
        </is>
      </c>
      <c r="B16" s="1" t="n">
        <v>44768</v>
      </c>
      <c r="C16" s="1" t="n">
        <v>45646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Fjällig taggsvamp s.str.
Mönjevaxskivling</t>
        </is>
      </c>
      <c r="S16">
        <f>HYPERLINK("https://klasma.github.io/Logging_2084/artfynd/A 31017-2022 artfynd.xlsx", "A 31017-2022")</f>
        <v/>
      </c>
      <c r="T16">
        <f>HYPERLINK("https://klasma.github.io/Logging_2084/kartor/A 31017-2022 karta.png", "A 31017-2022")</f>
        <v/>
      </c>
      <c r="V16">
        <f>HYPERLINK("https://klasma.github.io/Logging_2084/klagomål/A 31017-2022 FSC-klagomål.docx", "A 31017-2022")</f>
        <v/>
      </c>
      <c r="W16">
        <f>HYPERLINK("https://klasma.github.io/Logging_2084/klagomålsmail/A 31017-2022 FSC-klagomål mail.docx", "A 31017-2022")</f>
        <v/>
      </c>
      <c r="X16">
        <f>HYPERLINK("https://klasma.github.io/Logging_2084/tillsyn/A 31017-2022 tillsynsbegäran.docx", "A 31017-2022")</f>
        <v/>
      </c>
      <c r="Y16">
        <f>HYPERLINK("https://klasma.github.io/Logging_2084/tillsynsmail/A 31017-2022 tillsynsbegäran mail.docx", "A 31017-2022")</f>
        <v/>
      </c>
    </row>
    <row r="17" ht="15" customHeight="1">
      <c r="A17" t="inlineStr">
        <is>
          <t>A 31009-2023</t>
        </is>
      </c>
      <c r="B17" s="1" t="n">
        <v>45103</v>
      </c>
      <c r="C17" s="1" t="n">
        <v>45646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46.4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Jättesvampmal
Blåsippa</t>
        </is>
      </c>
      <c r="S17">
        <f>HYPERLINK("https://klasma.github.io/Logging_2084/artfynd/A 31009-2023 artfynd.xlsx", "A 31009-2023")</f>
        <v/>
      </c>
      <c r="T17">
        <f>HYPERLINK("https://klasma.github.io/Logging_2084/kartor/A 31009-2023 karta.png", "A 31009-2023")</f>
        <v/>
      </c>
      <c r="V17">
        <f>HYPERLINK("https://klasma.github.io/Logging_2084/klagomål/A 31009-2023 FSC-klagomål.docx", "A 31009-2023")</f>
        <v/>
      </c>
      <c r="W17">
        <f>HYPERLINK("https://klasma.github.io/Logging_2084/klagomålsmail/A 31009-2023 FSC-klagomål mail.docx", "A 31009-2023")</f>
        <v/>
      </c>
      <c r="X17">
        <f>HYPERLINK("https://klasma.github.io/Logging_2084/tillsyn/A 31009-2023 tillsynsbegäran.docx", "A 31009-2023")</f>
        <v/>
      </c>
      <c r="Y17">
        <f>HYPERLINK("https://klasma.github.io/Logging_2084/tillsynsmail/A 31009-2023 tillsynsbegäran mail.docx", "A 31009-2023")</f>
        <v/>
      </c>
    </row>
    <row r="18" ht="15" customHeight="1">
      <c r="A18" t="inlineStr">
        <is>
          <t>A 59921-2023</t>
        </is>
      </c>
      <c r="B18" s="1" t="n">
        <v>45257</v>
      </c>
      <c r="C18" s="1" t="n">
        <v>45646</v>
      </c>
      <c r="D18" t="inlineStr">
        <is>
          <t>DALARNAS LÄN</t>
        </is>
      </c>
      <c r="E18" t="inlineStr">
        <is>
          <t>AVESTA</t>
        </is>
      </c>
      <c r="G18" t="n">
        <v>0.4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Gulsparv
Talltita</t>
        </is>
      </c>
      <c r="S18">
        <f>HYPERLINK("https://klasma.github.io/Logging_2084/artfynd/A 59921-2023 artfynd.xlsx", "A 59921-2023")</f>
        <v/>
      </c>
      <c r="T18">
        <f>HYPERLINK("https://klasma.github.io/Logging_2084/kartor/A 59921-2023 karta.png", "A 59921-2023")</f>
        <v/>
      </c>
      <c r="V18">
        <f>HYPERLINK("https://klasma.github.io/Logging_2084/klagomål/A 59921-2023 FSC-klagomål.docx", "A 59921-2023")</f>
        <v/>
      </c>
      <c r="W18">
        <f>HYPERLINK("https://klasma.github.io/Logging_2084/klagomålsmail/A 59921-2023 FSC-klagomål mail.docx", "A 59921-2023")</f>
        <v/>
      </c>
      <c r="X18">
        <f>HYPERLINK("https://klasma.github.io/Logging_2084/tillsyn/A 59921-2023 tillsynsbegäran.docx", "A 59921-2023")</f>
        <v/>
      </c>
      <c r="Y18">
        <f>HYPERLINK("https://klasma.github.io/Logging_2084/tillsynsmail/A 59921-2023 tillsynsbegäran mail.docx", "A 59921-2023")</f>
        <v/>
      </c>
      <c r="Z18">
        <f>HYPERLINK("https://klasma.github.io/Logging_2084/fåglar/A 59921-2023 prioriterade fågelarter.docx", "A 59921-2023")</f>
        <v/>
      </c>
    </row>
    <row r="19" ht="15" customHeight="1">
      <c r="A19" t="inlineStr">
        <is>
          <t>A 4998-2020</t>
        </is>
      </c>
      <c r="B19" s="1" t="n">
        <v>43859</v>
      </c>
      <c r="C19" s="1" t="n">
        <v>45646</v>
      </c>
      <c r="D19" t="inlineStr">
        <is>
          <t>DALARNAS LÄN</t>
        </is>
      </c>
      <c r="E19" t="inlineStr">
        <is>
          <t>AVESTA</t>
        </is>
      </c>
      <c r="G19" t="n">
        <v>5.3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4998-2020 artfynd.xlsx", "A 4998-2020")</f>
        <v/>
      </c>
      <c r="T19">
        <f>HYPERLINK("https://klasma.github.io/Logging_2084/kartor/A 4998-2020 karta.png", "A 4998-2020")</f>
        <v/>
      </c>
      <c r="U19">
        <f>HYPERLINK("https://klasma.github.io/Logging_2084/knärot/A 4998-2020 karta knärot.png", "A 4998-2020")</f>
        <v/>
      </c>
      <c r="V19">
        <f>HYPERLINK("https://klasma.github.io/Logging_2084/klagomål/A 4998-2020 FSC-klagomål.docx", "A 4998-2020")</f>
        <v/>
      </c>
      <c r="W19">
        <f>HYPERLINK("https://klasma.github.io/Logging_2084/klagomålsmail/A 4998-2020 FSC-klagomål mail.docx", "A 4998-2020")</f>
        <v/>
      </c>
      <c r="X19">
        <f>HYPERLINK("https://klasma.github.io/Logging_2084/tillsyn/A 4998-2020 tillsynsbegäran.docx", "A 4998-2020")</f>
        <v/>
      </c>
      <c r="Y19">
        <f>HYPERLINK("https://klasma.github.io/Logging_2084/tillsynsmail/A 4998-2020 tillsynsbegäran mail.docx", "A 4998-2020")</f>
        <v/>
      </c>
    </row>
    <row r="20" ht="15" customHeight="1">
      <c r="A20" t="inlineStr">
        <is>
          <t>A 42701-2021</t>
        </is>
      </c>
      <c r="B20" s="1" t="n">
        <v>44428</v>
      </c>
      <c r="C20" s="1" t="n">
        <v>45646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HYPERLINK("https://klasma.github.io/Logging_2084/artfynd/A 42701-2021 artfynd.xlsx", "A 42701-2021")</f>
        <v/>
      </c>
      <c r="T20">
        <f>HYPERLINK("https://klasma.github.io/Logging_2084/kartor/A 42701-2021 karta.png", "A 42701-2021")</f>
        <v/>
      </c>
      <c r="V20">
        <f>HYPERLINK("https://klasma.github.io/Logging_2084/klagomål/A 42701-2021 FSC-klagomål.docx", "A 42701-2021")</f>
        <v/>
      </c>
      <c r="W20">
        <f>HYPERLINK("https://klasma.github.io/Logging_2084/klagomålsmail/A 42701-2021 FSC-klagomål mail.docx", "A 42701-2021")</f>
        <v/>
      </c>
      <c r="X20">
        <f>HYPERLINK("https://klasma.github.io/Logging_2084/tillsyn/A 42701-2021 tillsynsbegäran.docx", "A 42701-2021")</f>
        <v/>
      </c>
      <c r="Y20">
        <f>HYPERLINK("https://klasma.github.io/Logging_2084/tillsynsmail/A 42701-2021 tillsynsbegäran mail.docx", "A 42701-2021")</f>
        <v/>
      </c>
    </row>
    <row r="21" ht="15" customHeight="1">
      <c r="A21" t="inlineStr">
        <is>
          <t>A 45604-2021</t>
        </is>
      </c>
      <c r="B21" s="1" t="n">
        <v>44440</v>
      </c>
      <c r="C21" s="1" t="n">
        <v>45646</v>
      </c>
      <c r="D21" t="inlineStr">
        <is>
          <t>DALARNAS LÄN</t>
        </is>
      </c>
      <c r="E21" t="inlineStr">
        <is>
          <t>AVESTA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HYPERLINK("https://klasma.github.io/Logging_2084/artfynd/A 45604-2021 artfynd.xlsx", "A 45604-2021")</f>
        <v/>
      </c>
      <c r="T21">
        <f>HYPERLINK("https://klasma.github.io/Logging_2084/kartor/A 45604-2021 karta.png", "A 45604-2021")</f>
        <v/>
      </c>
      <c r="V21">
        <f>HYPERLINK("https://klasma.github.io/Logging_2084/klagomål/A 45604-2021 FSC-klagomål.docx", "A 45604-2021")</f>
        <v/>
      </c>
      <c r="W21">
        <f>HYPERLINK("https://klasma.github.io/Logging_2084/klagomålsmail/A 45604-2021 FSC-klagomål mail.docx", "A 45604-2021")</f>
        <v/>
      </c>
      <c r="X21">
        <f>HYPERLINK("https://klasma.github.io/Logging_2084/tillsyn/A 45604-2021 tillsynsbegäran.docx", "A 45604-2021")</f>
        <v/>
      </c>
      <c r="Y21">
        <f>HYPERLINK("https://klasma.github.io/Logging_2084/tillsynsmail/A 45604-2021 tillsynsbegäran mail.docx", "A 45604-2021")</f>
        <v/>
      </c>
    </row>
    <row r="22" ht="15" customHeight="1">
      <c r="A22" t="inlineStr">
        <is>
          <t>A 1695-2022</t>
        </is>
      </c>
      <c r="B22" s="1" t="n">
        <v>44574</v>
      </c>
      <c r="C22" s="1" t="n">
        <v>45646</v>
      </c>
      <c r="D22" t="inlineStr">
        <is>
          <t>DALARNAS LÄN</t>
        </is>
      </c>
      <c r="E22" t="inlineStr">
        <is>
          <t>AVESTA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1695-2022 artfynd.xlsx", "A 1695-2022")</f>
        <v/>
      </c>
      <c r="T22">
        <f>HYPERLINK("https://klasma.github.io/Logging_2084/kartor/A 1695-2022 karta.png", "A 1695-2022")</f>
        <v/>
      </c>
      <c r="U22">
        <f>HYPERLINK("https://klasma.github.io/Logging_2084/knärot/A 1695-2022 karta knärot.png", "A 1695-2022")</f>
        <v/>
      </c>
      <c r="V22">
        <f>HYPERLINK("https://klasma.github.io/Logging_2084/klagomål/A 1695-2022 FSC-klagomål.docx", "A 1695-2022")</f>
        <v/>
      </c>
      <c r="W22">
        <f>HYPERLINK("https://klasma.github.io/Logging_2084/klagomålsmail/A 1695-2022 FSC-klagomål mail.docx", "A 1695-2022")</f>
        <v/>
      </c>
      <c r="X22">
        <f>HYPERLINK("https://klasma.github.io/Logging_2084/tillsyn/A 1695-2022 tillsynsbegäran.docx", "A 1695-2022")</f>
        <v/>
      </c>
      <c r="Y22">
        <f>HYPERLINK("https://klasma.github.io/Logging_2084/tillsynsmail/A 1695-2022 tillsynsbegäran mail.docx", "A 1695-2022")</f>
        <v/>
      </c>
    </row>
    <row r="23" ht="15" customHeight="1">
      <c r="A23" t="inlineStr">
        <is>
          <t>A 12997-2022</t>
        </is>
      </c>
      <c r="B23" s="1" t="n">
        <v>44643</v>
      </c>
      <c r="C23" s="1" t="n">
        <v>45646</v>
      </c>
      <c r="D23" t="inlineStr">
        <is>
          <t>DALARNAS LÄN</t>
        </is>
      </c>
      <c r="E23" t="inlineStr">
        <is>
          <t>AVESTA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HYPERLINK("https://klasma.github.io/Logging_2084/artfynd/A 12997-2022 artfynd.xlsx", "A 12997-2022")</f>
        <v/>
      </c>
      <c r="T23">
        <f>HYPERLINK("https://klasma.github.io/Logging_2084/kartor/A 12997-2022 karta.png", "A 12997-2022")</f>
        <v/>
      </c>
      <c r="V23">
        <f>HYPERLINK("https://klasma.github.io/Logging_2084/klagomål/A 12997-2022 FSC-klagomål.docx", "A 12997-2022")</f>
        <v/>
      </c>
      <c r="W23">
        <f>HYPERLINK("https://klasma.github.io/Logging_2084/klagomålsmail/A 12997-2022 FSC-klagomål mail.docx", "A 12997-2022")</f>
        <v/>
      </c>
      <c r="X23">
        <f>HYPERLINK("https://klasma.github.io/Logging_2084/tillsyn/A 12997-2022 tillsynsbegäran.docx", "A 12997-2022")</f>
        <v/>
      </c>
      <c r="Y23">
        <f>HYPERLINK("https://klasma.github.io/Logging_2084/tillsynsmail/A 12997-2022 tillsynsbegäran mail.docx", "A 12997-2022")</f>
        <v/>
      </c>
      <c r="Z23">
        <f>HYPERLINK("https://klasma.github.io/Logging_2084/fåglar/A 12997-2022 prioriterade fågelarter.docx", "A 12997-2022")</f>
        <v/>
      </c>
    </row>
    <row r="24" ht="15" customHeight="1">
      <c r="A24" t="inlineStr">
        <is>
          <t>A 41888-2023</t>
        </is>
      </c>
      <c r="B24" s="1" t="n">
        <v>45176</v>
      </c>
      <c r="C24" s="1" t="n">
        <v>45646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41888-2023 artfynd.xlsx", "A 41888-2023")</f>
        <v/>
      </c>
      <c r="T24">
        <f>HYPERLINK("https://klasma.github.io/Logging_2084/kartor/A 41888-2023 karta.png", "A 41888-2023")</f>
        <v/>
      </c>
      <c r="V24">
        <f>HYPERLINK("https://klasma.github.io/Logging_2084/klagomål/A 41888-2023 FSC-klagomål.docx", "A 41888-2023")</f>
        <v/>
      </c>
      <c r="W24">
        <f>HYPERLINK("https://klasma.github.io/Logging_2084/klagomålsmail/A 41888-2023 FSC-klagomål mail.docx", "A 41888-2023")</f>
        <v/>
      </c>
      <c r="X24">
        <f>HYPERLINK("https://klasma.github.io/Logging_2084/tillsyn/A 41888-2023 tillsynsbegäran.docx", "A 41888-2023")</f>
        <v/>
      </c>
      <c r="Y24">
        <f>HYPERLINK("https://klasma.github.io/Logging_2084/tillsynsmail/A 41888-2023 tillsynsbegäran mail.docx", "A 41888-2023")</f>
        <v/>
      </c>
    </row>
    <row r="25" ht="15" customHeight="1">
      <c r="A25" t="inlineStr">
        <is>
          <t>A 43454-2023</t>
        </is>
      </c>
      <c r="B25" s="1" t="n">
        <v>45184</v>
      </c>
      <c r="C25" s="1" t="n">
        <v>45646</v>
      </c>
      <c r="D25" t="inlineStr">
        <is>
          <t>DALARNAS LÄN</t>
        </is>
      </c>
      <c r="E25" t="inlineStr">
        <is>
          <t>AVESTA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HYPERLINK("https://klasma.github.io/Logging_2084/artfynd/A 43454-2023 artfynd.xlsx", "A 43454-2023")</f>
        <v/>
      </c>
      <c r="T25">
        <f>HYPERLINK("https://klasma.github.io/Logging_2084/kartor/A 43454-2023 karta.png", "A 43454-2023")</f>
        <v/>
      </c>
      <c r="V25">
        <f>HYPERLINK("https://klasma.github.io/Logging_2084/klagomål/A 43454-2023 FSC-klagomål.docx", "A 43454-2023")</f>
        <v/>
      </c>
      <c r="W25">
        <f>HYPERLINK("https://klasma.github.io/Logging_2084/klagomålsmail/A 43454-2023 FSC-klagomål mail.docx", "A 43454-2023")</f>
        <v/>
      </c>
      <c r="X25">
        <f>HYPERLINK("https://klasma.github.io/Logging_2084/tillsyn/A 43454-2023 tillsynsbegäran.docx", "A 43454-2023")</f>
        <v/>
      </c>
      <c r="Y25">
        <f>HYPERLINK("https://klasma.github.io/Logging_2084/tillsynsmail/A 43454-2023 tillsynsbegäran mail.docx", "A 43454-2023")</f>
        <v/>
      </c>
      <c r="Z25">
        <f>HYPERLINK("https://klasma.github.io/Logging_2084/fåglar/A 43454-2023 prioriterade fågelarter.docx", "A 43454-2023")</f>
        <v/>
      </c>
    </row>
    <row r="26" ht="15" customHeight="1">
      <c r="A26" t="inlineStr">
        <is>
          <t>A 43773-2023</t>
        </is>
      </c>
      <c r="B26" s="1" t="n">
        <v>45187</v>
      </c>
      <c r="C26" s="1" t="n">
        <v>45646</v>
      </c>
      <c r="D26" t="inlineStr">
        <is>
          <t>DALARNAS LÄN</t>
        </is>
      </c>
      <c r="E26" t="inlineStr">
        <is>
          <t>AVESTA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43773-2023 artfynd.xlsx", "A 43773-2023")</f>
        <v/>
      </c>
      <c r="T26">
        <f>HYPERLINK("https://klasma.github.io/Logging_2084/kartor/A 43773-2023 karta.png", "A 43773-2023")</f>
        <v/>
      </c>
      <c r="U26">
        <f>HYPERLINK("https://klasma.github.io/Logging_2084/knärot/A 43773-2023 karta knärot.png", "A 43773-2023")</f>
        <v/>
      </c>
      <c r="V26">
        <f>HYPERLINK("https://klasma.github.io/Logging_2084/klagomål/A 43773-2023 FSC-klagomål.docx", "A 43773-2023")</f>
        <v/>
      </c>
      <c r="W26">
        <f>HYPERLINK("https://klasma.github.io/Logging_2084/klagomålsmail/A 43773-2023 FSC-klagomål mail.docx", "A 43773-2023")</f>
        <v/>
      </c>
      <c r="X26">
        <f>HYPERLINK("https://klasma.github.io/Logging_2084/tillsyn/A 43773-2023 tillsynsbegäran.docx", "A 43773-2023")</f>
        <v/>
      </c>
      <c r="Y26">
        <f>HYPERLINK("https://klasma.github.io/Logging_2084/tillsynsmail/A 43773-2023 tillsynsbegäran mail.docx", "A 43773-2023")</f>
        <v/>
      </c>
    </row>
    <row r="27" ht="15" customHeight="1">
      <c r="A27" t="inlineStr">
        <is>
          <t>A 56085-2023</t>
        </is>
      </c>
      <c r="B27" s="1" t="n">
        <v>45240</v>
      </c>
      <c r="C27" s="1" t="n">
        <v>45646</v>
      </c>
      <c r="D27" t="inlineStr">
        <is>
          <t>DALARNAS LÄN</t>
        </is>
      </c>
      <c r="E27" t="inlineStr">
        <is>
          <t>AVESTA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Rostfläck</t>
        </is>
      </c>
      <c r="S27">
        <f>HYPERLINK("https://klasma.github.io/Logging_2084/artfynd/A 56085-2023 artfynd.xlsx", "A 56085-2023")</f>
        <v/>
      </c>
      <c r="T27">
        <f>HYPERLINK("https://klasma.github.io/Logging_2084/kartor/A 56085-2023 karta.png", "A 56085-2023")</f>
        <v/>
      </c>
      <c r="V27">
        <f>HYPERLINK("https://klasma.github.io/Logging_2084/klagomål/A 56085-2023 FSC-klagomål.docx", "A 56085-2023")</f>
        <v/>
      </c>
      <c r="W27">
        <f>HYPERLINK("https://klasma.github.io/Logging_2084/klagomålsmail/A 56085-2023 FSC-klagomål mail.docx", "A 56085-2023")</f>
        <v/>
      </c>
      <c r="X27">
        <f>HYPERLINK("https://klasma.github.io/Logging_2084/tillsyn/A 56085-2023 tillsynsbegäran.docx", "A 56085-2023")</f>
        <v/>
      </c>
      <c r="Y27">
        <f>HYPERLINK("https://klasma.github.io/Logging_2084/tillsynsmail/A 56085-2023 tillsynsbegäran mail.docx", "A 56085-2023")</f>
        <v/>
      </c>
    </row>
    <row r="28" ht="15" customHeight="1">
      <c r="A28" t="inlineStr">
        <is>
          <t>A 61850-2023</t>
        </is>
      </c>
      <c r="B28" s="1" t="n">
        <v>45266</v>
      </c>
      <c r="C28" s="1" t="n">
        <v>45646</v>
      </c>
      <c r="D28" t="inlineStr">
        <is>
          <t>DALARNAS LÄN</t>
        </is>
      </c>
      <c r="E28" t="inlineStr">
        <is>
          <t>AVESTA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HYPERLINK("https://klasma.github.io/Logging_2084/artfynd/A 61850-2023 artfynd.xlsx", "A 61850-2023")</f>
        <v/>
      </c>
      <c r="T28">
        <f>HYPERLINK("https://klasma.github.io/Logging_2084/kartor/A 61850-2023 karta.png", "A 61850-2023")</f>
        <v/>
      </c>
      <c r="U28">
        <f>HYPERLINK("https://klasma.github.io/Logging_2084/knärot/A 61850-2023 karta knärot.png", "A 61850-2023")</f>
        <v/>
      </c>
      <c r="V28">
        <f>HYPERLINK("https://klasma.github.io/Logging_2084/klagomål/A 61850-2023 FSC-klagomål.docx", "A 61850-2023")</f>
        <v/>
      </c>
      <c r="W28">
        <f>HYPERLINK("https://klasma.github.io/Logging_2084/klagomålsmail/A 61850-2023 FSC-klagomål mail.docx", "A 61850-2023")</f>
        <v/>
      </c>
      <c r="X28">
        <f>HYPERLINK("https://klasma.github.io/Logging_2084/tillsyn/A 61850-2023 tillsynsbegäran.docx", "A 61850-2023")</f>
        <v/>
      </c>
      <c r="Y28">
        <f>HYPERLINK("https://klasma.github.io/Logging_2084/tillsynsmail/A 61850-2023 tillsynsbegäran mail.docx", "A 61850-2023")</f>
        <v/>
      </c>
    </row>
    <row r="29" ht="15" customHeight="1">
      <c r="A29" t="inlineStr">
        <is>
          <t>A 5299-2024</t>
        </is>
      </c>
      <c r="B29" s="1" t="n">
        <v>45331</v>
      </c>
      <c r="C29" s="1" t="n">
        <v>45646</v>
      </c>
      <c r="D29" t="inlineStr">
        <is>
          <t>DALARNAS LÄN</t>
        </is>
      </c>
      <c r="E29" t="inlineStr">
        <is>
          <t>AVESTA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HYPERLINK("https://klasma.github.io/Logging_2084/artfynd/A 5299-2024 artfynd.xlsx", "A 5299-2024")</f>
        <v/>
      </c>
      <c r="T29">
        <f>HYPERLINK("https://klasma.github.io/Logging_2084/kartor/A 5299-2024 karta.png", "A 5299-2024")</f>
        <v/>
      </c>
      <c r="V29">
        <f>HYPERLINK("https://klasma.github.io/Logging_2084/klagomål/A 5299-2024 FSC-klagomål.docx", "A 5299-2024")</f>
        <v/>
      </c>
      <c r="W29">
        <f>HYPERLINK("https://klasma.github.io/Logging_2084/klagomålsmail/A 5299-2024 FSC-klagomål mail.docx", "A 5299-2024")</f>
        <v/>
      </c>
      <c r="X29">
        <f>HYPERLINK("https://klasma.github.io/Logging_2084/tillsyn/A 5299-2024 tillsynsbegäran.docx", "A 5299-2024")</f>
        <v/>
      </c>
      <c r="Y29">
        <f>HYPERLINK("https://klasma.github.io/Logging_2084/tillsynsmail/A 5299-2024 tillsynsbegäran mail.docx", "A 5299-2024")</f>
        <v/>
      </c>
    </row>
    <row r="30" ht="15" customHeight="1">
      <c r="A30" t="inlineStr">
        <is>
          <t>A 10943-2024</t>
        </is>
      </c>
      <c r="B30" s="1" t="n">
        <v>45370</v>
      </c>
      <c r="C30" s="1" t="n">
        <v>45646</v>
      </c>
      <c r="D30" t="inlineStr">
        <is>
          <t>DALARNAS LÄN</t>
        </is>
      </c>
      <c r="E30" t="inlineStr">
        <is>
          <t>AVESTA</t>
        </is>
      </c>
      <c r="G30" t="n">
        <v>8.5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HYPERLINK("https://klasma.github.io/Logging_2084/artfynd/A 10943-2024 artfynd.xlsx", "A 10943-2024")</f>
        <v/>
      </c>
      <c r="T30">
        <f>HYPERLINK("https://klasma.github.io/Logging_2084/kartor/A 10943-2024 karta.png", "A 10943-2024")</f>
        <v/>
      </c>
      <c r="V30">
        <f>HYPERLINK("https://klasma.github.io/Logging_2084/klagomål/A 10943-2024 FSC-klagomål.docx", "A 10943-2024")</f>
        <v/>
      </c>
      <c r="W30">
        <f>HYPERLINK("https://klasma.github.io/Logging_2084/klagomålsmail/A 10943-2024 FSC-klagomål mail.docx", "A 10943-2024")</f>
        <v/>
      </c>
      <c r="X30">
        <f>HYPERLINK("https://klasma.github.io/Logging_2084/tillsyn/A 10943-2024 tillsynsbegäran.docx", "A 10943-2024")</f>
        <v/>
      </c>
      <c r="Y30">
        <f>HYPERLINK("https://klasma.github.io/Logging_2084/tillsynsmail/A 10943-2024 tillsynsbegäran mail.docx", "A 10943-2024")</f>
        <v/>
      </c>
      <c r="Z30">
        <f>HYPERLINK("https://klasma.github.io/Logging_2084/fåglar/A 10943-2024 prioriterade fågelarter.docx", "A 10943-2024")</f>
        <v/>
      </c>
    </row>
    <row r="31" ht="15" customHeight="1">
      <c r="A31" t="inlineStr">
        <is>
          <t>A 20084-2024</t>
        </is>
      </c>
      <c r="B31" s="1" t="n">
        <v>45434</v>
      </c>
      <c r="C31" s="1" t="n">
        <v>45646</v>
      </c>
      <c r="D31" t="inlineStr">
        <is>
          <t>DALARNAS LÄN</t>
        </is>
      </c>
      <c r="E31" t="inlineStr">
        <is>
          <t>AVESTA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Klasefibbla</t>
        </is>
      </c>
      <c r="S31">
        <f>HYPERLINK("https://klasma.github.io/Logging_2084/artfynd/A 20084-2024 artfynd.xlsx", "A 20084-2024")</f>
        <v/>
      </c>
      <c r="T31">
        <f>HYPERLINK("https://klasma.github.io/Logging_2084/kartor/A 20084-2024 karta.png", "A 20084-2024")</f>
        <v/>
      </c>
      <c r="V31">
        <f>HYPERLINK("https://klasma.github.io/Logging_2084/klagomål/A 20084-2024 FSC-klagomål.docx", "A 20084-2024")</f>
        <v/>
      </c>
      <c r="W31">
        <f>HYPERLINK("https://klasma.github.io/Logging_2084/klagomålsmail/A 20084-2024 FSC-klagomål mail.docx", "A 20084-2024")</f>
        <v/>
      </c>
      <c r="X31">
        <f>HYPERLINK("https://klasma.github.io/Logging_2084/tillsyn/A 20084-2024 tillsynsbegäran.docx", "A 20084-2024")</f>
        <v/>
      </c>
      <c r="Y31">
        <f>HYPERLINK("https://klasma.github.io/Logging_2084/tillsynsmail/A 20084-2024 tillsynsbegäran mail.docx", "A 20084-2024")</f>
        <v/>
      </c>
    </row>
    <row r="32" ht="15" customHeight="1">
      <c r="A32" t="inlineStr">
        <is>
          <t>A 32609-2024</t>
        </is>
      </c>
      <c r="B32" s="1" t="n">
        <v>45513</v>
      </c>
      <c r="C32" s="1" t="n">
        <v>45646</v>
      </c>
      <c r="D32" t="inlineStr">
        <is>
          <t>DALARNAS LÄN</t>
        </is>
      </c>
      <c r="E32" t="inlineStr">
        <is>
          <t>AVESTA</t>
        </is>
      </c>
      <c r="G32" t="n">
        <v>4.4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HYPERLINK("https://klasma.github.io/Logging_2084/artfynd/A 32609-2024 artfynd.xlsx", "A 32609-2024")</f>
        <v/>
      </c>
      <c r="T32">
        <f>HYPERLINK("https://klasma.github.io/Logging_2084/kartor/A 32609-2024 karta.png", "A 32609-2024")</f>
        <v/>
      </c>
      <c r="V32">
        <f>HYPERLINK("https://klasma.github.io/Logging_2084/klagomål/A 32609-2024 FSC-klagomål.docx", "A 32609-2024")</f>
        <v/>
      </c>
      <c r="W32">
        <f>HYPERLINK("https://klasma.github.io/Logging_2084/klagomålsmail/A 32609-2024 FSC-klagomål mail.docx", "A 32609-2024")</f>
        <v/>
      </c>
      <c r="X32">
        <f>HYPERLINK("https://klasma.github.io/Logging_2084/tillsyn/A 32609-2024 tillsynsbegäran.docx", "A 32609-2024")</f>
        <v/>
      </c>
      <c r="Y32">
        <f>HYPERLINK("https://klasma.github.io/Logging_2084/tillsynsmail/A 32609-2024 tillsynsbegäran mail.docx", "A 32609-2024")</f>
        <v/>
      </c>
    </row>
    <row r="33" ht="15" customHeight="1">
      <c r="A33" t="inlineStr">
        <is>
          <t>A 32987-2024</t>
        </is>
      </c>
      <c r="B33" s="1" t="n">
        <v>45517</v>
      </c>
      <c r="C33" s="1" t="n">
        <v>45646</v>
      </c>
      <c r="D33" t="inlineStr">
        <is>
          <t>DALARNAS LÄN</t>
        </is>
      </c>
      <c r="E33" t="inlineStr">
        <is>
          <t>AVESTA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Guldlockmossa</t>
        </is>
      </c>
      <c r="S33">
        <f>HYPERLINK("https://klasma.github.io/Logging_2084/artfynd/A 32987-2024 artfynd.xlsx", "A 32987-2024")</f>
        <v/>
      </c>
      <c r="T33">
        <f>HYPERLINK("https://klasma.github.io/Logging_2084/kartor/A 32987-2024 karta.png", "A 32987-2024")</f>
        <v/>
      </c>
      <c r="V33">
        <f>HYPERLINK("https://klasma.github.io/Logging_2084/klagomål/A 32987-2024 FSC-klagomål.docx", "A 32987-2024")</f>
        <v/>
      </c>
      <c r="W33">
        <f>HYPERLINK("https://klasma.github.io/Logging_2084/klagomålsmail/A 32987-2024 FSC-klagomål mail.docx", "A 32987-2024")</f>
        <v/>
      </c>
      <c r="X33">
        <f>HYPERLINK("https://klasma.github.io/Logging_2084/tillsyn/A 32987-2024 tillsynsbegäran.docx", "A 32987-2024")</f>
        <v/>
      </c>
      <c r="Y33">
        <f>HYPERLINK("https://klasma.github.io/Logging_2084/tillsynsmail/A 32987-2024 tillsynsbegäran mail.docx", "A 32987-2024")</f>
        <v/>
      </c>
    </row>
    <row r="34" ht="15" customHeight="1">
      <c r="A34" t="inlineStr">
        <is>
          <t>A 33662-2024</t>
        </is>
      </c>
      <c r="B34" s="1" t="n">
        <v>45520</v>
      </c>
      <c r="C34" s="1" t="n">
        <v>45646</v>
      </c>
      <c r="D34" t="inlineStr">
        <is>
          <t>DALARNAS LÄN</t>
        </is>
      </c>
      <c r="E34" t="inlineStr">
        <is>
          <t>AVESTA</t>
        </is>
      </c>
      <c r="G34" t="n">
        <v>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HYPERLINK("https://klasma.github.io/Logging_2084/artfynd/A 33662-2024 artfynd.xlsx", "A 33662-2024")</f>
        <v/>
      </c>
      <c r="T34">
        <f>HYPERLINK("https://klasma.github.io/Logging_2084/kartor/A 33662-2024 karta.png", "A 33662-2024")</f>
        <v/>
      </c>
      <c r="V34">
        <f>HYPERLINK("https://klasma.github.io/Logging_2084/klagomål/A 33662-2024 FSC-klagomål.docx", "A 33662-2024")</f>
        <v/>
      </c>
      <c r="W34">
        <f>HYPERLINK("https://klasma.github.io/Logging_2084/klagomålsmail/A 33662-2024 FSC-klagomål mail.docx", "A 33662-2024")</f>
        <v/>
      </c>
      <c r="X34">
        <f>HYPERLINK("https://klasma.github.io/Logging_2084/tillsyn/A 33662-2024 tillsynsbegäran.docx", "A 33662-2024")</f>
        <v/>
      </c>
      <c r="Y34">
        <f>HYPERLINK("https://klasma.github.io/Logging_2084/tillsynsmail/A 33662-2024 tillsynsbegäran mail.docx", "A 33662-2024")</f>
        <v/>
      </c>
      <c r="Z34">
        <f>HYPERLINK("https://klasma.github.io/Logging_2084/fåglar/A 33662-2024 prioriterade fågelarter.docx", "A 33662-2024")</f>
        <v/>
      </c>
    </row>
    <row r="35" ht="15" customHeight="1">
      <c r="A35" t="inlineStr">
        <is>
          <t>A 56786-2024</t>
        </is>
      </c>
      <c r="B35" s="1" t="n">
        <v>45628</v>
      </c>
      <c r="C35" s="1" t="n">
        <v>45646</v>
      </c>
      <c r="D35" t="inlineStr">
        <is>
          <t>DALARNAS LÄN</t>
        </is>
      </c>
      <c r="E35" t="inlineStr">
        <is>
          <t>AVESTA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HYPERLINK("https://klasma.github.io/Logging_2084/artfynd/A 56786-2024 artfynd.xlsx", "A 56786-2024")</f>
        <v/>
      </c>
      <c r="T35">
        <f>HYPERLINK("https://klasma.github.io/Logging_2084/kartor/A 56786-2024 karta.png", "A 56786-2024")</f>
        <v/>
      </c>
      <c r="U35">
        <f>HYPERLINK("https://klasma.github.io/Logging_2084/knärot/A 56786-2024 karta knärot.png", "A 56786-2024")</f>
        <v/>
      </c>
      <c r="V35">
        <f>HYPERLINK("https://klasma.github.io/Logging_2084/klagomål/A 56786-2024 FSC-klagomål.docx", "A 56786-2024")</f>
        <v/>
      </c>
      <c r="W35">
        <f>HYPERLINK("https://klasma.github.io/Logging_2084/klagomålsmail/A 56786-2024 FSC-klagomål mail.docx", "A 56786-2024")</f>
        <v/>
      </c>
      <c r="X35">
        <f>HYPERLINK("https://klasma.github.io/Logging_2084/tillsyn/A 56786-2024 tillsynsbegäran.docx", "A 56786-2024")</f>
        <v/>
      </c>
      <c r="Y35">
        <f>HYPERLINK("https://klasma.github.io/Logging_2084/tillsynsmail/A 56786-2024 tillsynsbegäran mail.docx", "A 56786-2024")</f>
        <v/>
      </c>
    </row>
    <row r="36" ht="15" customHeight="1">
      <c r="A36" t="inlineStr">
        <is>
          <t>A 18152-2019</t>
        </is>
      </c>
      <c r="B36" s="1" t="n">
        <v>43558</v>
      </c>
      <c r="C36" s="1" t="n">
        <v>45646</v>
      </c>
      <c r="D36" t="inlineStr">
        <is>
          <t>DALARNAS LÄN</t>
        </is>
      </c>
      <c r="E36" t="inlineStr">
        <is>
          <t>AVESTA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18586-2019</t>
        </is>
      </c>
      <c r="B37" s="1" t="n">
        <v>43560</v>
      </c>
      <c r="C37" s="1" t="n">
        <v>45646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20667-2019</t>
        </is>
      </c>
      <c r="B38" s="1" t="n">
        <v>43573</v>
      </c>
      <c r="C38" s="1" t="n">
        <v>45646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21273-2019</t>
        </is>
      </c>
      <c r="B39" s="1" t="n">
        <v>43579</v>
      </c>
      <c r="C39" s="1" t="n">
        <v>45646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21495-2019</t>
        </is>
      </c>
      <c r="B40" s="1" t="n">
        <v>43580</v>
      </c>
      <c r="C40" s="1" t="n">
        <v>45646</v>
      </c>
      <c r="D40" t="inlineStr">
        <is>
          <t>DALARNAS LÄN</t>
        </is>
      </c>
      <c r="E40" t="inlineStr">
        <is>
          <t>AVESTA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25193-2019</t>
        </is>
      </c>
      <c r="B41" s="1" t="n">
        <v>43605</v>
      </c>
      <c r="C41" s="1" t="n">
        <v>45646</v>
      </c>
      <c r="D41" t="inlineStr">
        <is>
          <t>DALARNAS LÄN</t>
        </is>
      </c>
      <c r="E41" t="inlineStr">
        <is>
          <t>AVESTA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27312-2019</t>
        </is>
      </c>
      <c r="B42" s="1" t="n">
        <v>43616</v>
      </c>
      <c r="C42" s="1" t="n">
        <v>45646</v>
      </c>
      <c r="D42" t="inlineStr">
        <is>
          <t>DALARNAS LÄN</t>
        </is>
      </c>
      <c r="E42" t="inlineStr">
        <is>
          <t>AVESTA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28514-2019</t>
        </is>
      </c>
      <c r="B43" s="1" t="n">
        <v>43626</v>
      </c>
      <c r="C43" s="1" t="n">
        <v>45646</v>
      </c>
      <c r="D43" t="inlineStr">
        <is>
          <t>DALARNAS LÄN</t>
        </is>
      </c>
      <c r="E43" t="inlineStr">
        <is>
          <t>AVESTA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29061-2019</t>
        </is>
      </c>
      <c r="B44" s="1" t="n">
        <v>43628</v>
      </c>
      <c r="C44" s="1" t="n">
        <v>45646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29868-2019</t>
        </is>
      </c>
      <c r="B45" s="1" t="n">
        <v>43633</v>
      </c>
      <c r="C45" s="1" t="n">
        <v>45646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31035-2019</t>
        </is>
      </c>
      <c r="B46" s="1" t="n">
        <v>43640</v>
      </c>
      <c r="C46" s="1" t="n">
        <v>45646</v>
      </c>
      <c r="D46" t="inlineStr">
        <is>
          <t>DALARNAS LÄN</t>
        </is>
      </c>
      <c r="E46" t="inlineStr">
        <is>
          <t>AVESTA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31932-2019</t>
        </is>
      </c>
      <c r="B47" s="1" t="n">
        <v>43642</v>
      </c>
      <c r="C47" s="1" t="n">
        <v>45646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32441-2019</t>
        </is>
      </c>
      <c r="B48" s="1" t="n">
        <v>43644</v>
      </c>
      <c r="C48" s="1" t="n">
        <v>45646</v>
      </c>
      <c r="D48" t="inlineStr">
        <is>
          <t>DALARNAS LÄN</t>
        </is>
      </c>
      <c r="E48" t="inlineStr">
        <is>
          <t>AVESTA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35578-2019</t>
        </is>
      </c>
      <c r="B49" s="1" t="n">
        <v>43664</v>
      </c>
      <c r="C49" s="1" t="n">
        <v>45646</v>
      </c>
      <c r="D49" t="inlineStr">
        <is>
          <t>DALARNAS LÄN</t>
        </is>
      </c>
      <c r="E49" t="inlineStr">
        <is>
          <t>AVESTA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36010-2019</t>
        </is>
      </c>
      <c r="B50" s="1" t="n">
        <v>43668</v>
      </c>
      <c r="C50" s="1" t="n">
        <v>45646</v>
      </c>
      <c r="D50" t="inlineStr">
        <is>
          <t>DALARNAS LÄN</t>
        </is>
      </c>
      <c r="E50" t="inlineStr">
        <is>
          <t>AVESTA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36025-2019</t>
        </is>
      </c>
      <c r="B51" s="1" t="n">
        <v>43668</v>
      </c>
      <c r="C51" s="1" t="n">
        <v>45646</v>
      </c>
      <c r="D51" t="inlineStr">
        <is>
          <t>DALARNAS LÄN</t>
        </is>
      </c>
      <c r="E51" t="inlineStr">
        <is>
          <t>AVESTA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36823-2019</t>
        </is>
      </c>
      <c r="B52" s="1" t="n">
        <v>43674</v>
      </c>
      <c r="C52" s="1" t="n">
        <v>45646</v>
      </c>
      <c r="D52" t="inlineStr">
        <is>
          <t>DALARNAS LÄN</t>
        </is>
      </c>
      <c r="E52" t="inlineStr">
        <is>
          <t>AVESTA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36824-2019</t>
        </is>
      </c>
      <c r="B53" s="1" t="n">
        <v>43674</v>
      </c>
      <c r="C53" s="1" t="n">
        <v>45646</v>
      </c>
      <c r="D53" t="inlineStr">
        <is>
          <t>DALARNAS LÄN</t>
        </is>
      </c>
      <c r="E53" t="inlineStr">
        <is>
          <t>AVESTA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38526-2019</t>
        </is>
      </c>
      <c r="B54" s="1" t="n">
        <v>43685</v>
      </c>
      <c r="C54" s="1" t="n">
        <v>45646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40100-2019</t>
        </is>
      </c>
      <c r="B55" s="1" t="n">
        <v>43693</v>
      </c>
      <c r="C55" s="1" t="n">
        <v>45646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40066-2019</t>
        </is>
      </c>
      <c r="B56" s="1" t="n">
        <v>43693</v>
      </c>
      <c r="C56" s="1" t="n">
        <v>45646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40068-2019</t>
        </is>
      </c>
      <c r="B57" s="1" t="n">
        <v>43693</v>
      </c>
      <c r="C57" s="1" t="n">
        <v>45646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40088-2019</t>
        </is>
      </c>
      <c r="B58" s="1" t="n">
        <v>43693</v>
      </c>
      <c r="C58" s="1" t="n">
        <v>45646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40058-2019</t>
        </is>
      </c>
      <c r="B59" s="1" t="n">
        <v>43693</v>
      </c>
      <c r="C59" s="1" t="n">
        <v>45646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41062-2019</t>
        </is>
      </c>
      <c r="B60" s="1" t="n">
        <v>43698</v>
      </c>
      <c r="C60" s="1" t="n">
        <v>45646</v>
      </c>
      <c r="D60" t="inlineStr">
        <is>
          <t>DALARNAS LÄN</t>
        </is>
      </c>
      <c r="E60" t="inlineStr">
        <is>
          <t>AVESTA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41335-2019</t>
        </is>
      </c>
      <c r="B61" s="1" t="n">
        <v>43698</v>
      </c>
      <c r="C61" s="1" t="n">
        <v>45646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41066-2019</t>
        </is>
      </c>
      <c r="B62" s="1" t="n">
        <v>43698</v>
      </c>
      <c r="C62" s="1" t="n">
        <v>45646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43523-2019</t>
        </is>
      </c>
      <c r="B63" s="1" t="n">
        <v>43706</v>
      </c>
      <c r="C63" s="1" t="n">
        <v>45646</v>
      </c>
      <c r="D63" t="inlineStr">
        <is>
          <t>DALARNAS LÄN</t>
        </is>
      </c>
      <c r="E63" t="inlineStr">
        <is>
          <t>AVESTA</t>
        </is>
      </c>
      <c r="F63" t="inlineStr">
        <is>
          <t>Kyrkan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44663-2019</t>
        </is>
      </c>
      <c r="B64" s="1" t="n">
        <v>43712</v>
      </c>
      <c r="C64" s="1" t="n">
        <v>45646</v>
      </c>
      <c r="D64" t="inlineStr">
        <is>
          <t>DALARNAS LÄN</t>
        </is>
      </c>
      <c r="E64" t="inlineStr">
        <is>
          <t>AVESTA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45827-2019</t>
        </is>
      </c>
      <c r="B65" s="1" t="n">
        <v>43717</v>
      </c>
      <c r="C65" s="1" t="n">
        <v>45646</v>
      </c>
      <c r="D65" t="inlineStr">
        <is>
          <t>DALARNAS LÄN</t>
        </is>
      </c>
      <c r="E65" t="inlineStr">
        <is>
          <t>AVESTA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49272-2019</t>
        </is>
      </c>
      <c r="B66" s="1" t="n">
        <v>43731</v>
      </c>
      <c r="C66" s="1" t="n">
        <v>45646</v>
      </c>
      <c r="D66" t="inlineStr">
        <is>
          <t>DALARNAS LÄN</t>
        </is>
      </c>
      <c r="E66" t="inlineStr">
        <is>
          <t>AVESTA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49620-2019</t>
        </is>
      </c>
      <c r="B67" s="1" t="n">
        <v>43732</v>
      </c>
      <c r="C67" s="1" t="n">
        <v>45646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53459-2019</t>
        </is>
      </c>
      <c r="B68" s="1" t="n">
        <v>43748</v>
      </c>
      <c r="C68" s="1" t="n">
        <v>45646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53977-2019</t>
        </is>
      </c>
      <c r="B69" s="1" t="n">
        <v>43752</v>
      </c>
      <c r="C69" s="1" t="n">
        <v>45646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60217-2019</t>
        </is>
      </c>
      <c r="B70" s="1" t="n">
        <v>43780</v>
      </c>
      <c r="C70" s="1" t="n">
        <v>45646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60242-2019</t>
        </is>
      </c>
      <c r="B71" s="1" t="n">
        <v>43780</v>
      </c>
      <c r="C71" s="1" t="n">
        <v>45646</v>
      </c>
      <c r="D71" t="inlineStr">
        <is>
          <t>DALARNAS LÄN</t>
        </is>
      </c>
      <c r="E71" t="inlineStr">
        <is>
          <t>AVESTA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60201-2019</t>
        </is>
      </c>
      <c r="B72" s="1" t="n">
        <v>43780</v>
      </c>
      <c r="C72" s="1" t="n">
        <v>45646</v>
      </c>
      <c r="D72" t="inlineStr">
        <is>
          <t>DALARNAS LÄN</t>
        </is>
      </c>
      <c r="E72" t="inlineStr">
        <is>
          <t>AVESTA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60414-2019</t>
        </is>
      </c>
      <c r="B73" s="1" t="n">
        <v>43780</v>
      </c>
      <c r="C73" s="1" t="n">
        <v>45646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60280-2019</t>
        </is>
      </c>
      <c r="B74" s="1" t="n">
        <v>43780</v>
      </c>
      <c r="C74" s="1" t="n">
        <v>45646</v>
      </c>
      <c r="D74" t="inlineStr">
        <is>
          <t>DALARNAS LÄN</t>
        </is>
      </c>
      <c r="E74" t="inlineStr">
        <is>
          <t>AVESTA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60419-2019</t>
        </is>
      </c>
      <c r="B75" s="1" t="n">
        <v>43780</v>
      </c>
      <c r="C75" s="1" t="n">
        <v>45646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60304-2019</t>
        </is>
      </c>
      <c r="B76" s="1" t="n">
        <v>43780</v>
      </c>
      <c r="C76" s="1" t="n">
        <v>45646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62120-2019</t>
        </is>
      </c>
      <c r="B77" s="1" t="n">
        <v>43782</v>
      </c>
      <c r="C77" s="1" t="n">
        <v>45646</v>
      </c>
      <c r="D77" t="inlineStr">
        <is>
          <t>DALARNAS LÄN</t>
        </is>
      </c>
      <c r="E77" t="inlineStr">
        <is>
          <t>AVESTA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62818-2019</t>
        </is>
      </c>
      <c r="B78" s="1" t="n">
        <v>43790</v>
      </c>
      <c r="C78" s="1" t="n">
        <v>45646</v>
      </c>
      <c r="D78" t="inlineStr">
        <is>
          <t>DALARNAS LÄN</t>
        </is>
      </c>
      <c r="E78" t="inlineStr">
        <is>
          <t>AVESTA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65871-2019</t>
        </is>
      </c>
      <c r="B79" s="1" t="n">
        <v>43805</v>
      </c>
      <c r="C79" s="1" t="n">
        <v>45646</v>
      </c>
      <c r="D79" t="inlineStr">
        <is>
          <t>DALARNAS LÄN</t>
        </is>
      </c>
      <c r="E79" t="inlineStr">
        <is>
          <t>AVESTA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66721-2019</t>
        </is>
      </c>
      <c r="B80" s="1" t="n">
        <v>43810</v>
      </c>
      <c r="C80" s="1" t="n">
        <v>45646</v>
      </c>
      <c r="D80" t="inlineStr">
        <is>
          <t>DALARNAS LÄN</t>
        </is>
      </c>
      <c r="E80" t="inlineStr">
        <is>
          <t>AVESTA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2746-2020</t>
        </is>
      </c>
      <c r="B81" s="1" t="n">
        <v>43843</v>
      </c>
      <c r="C81" s="1" t="n">
        <v>45646</v>
      </c>
      <c r="D81" t="inlineStr">
        <is>
          <t>DALARNAS LÄN</t>
        </is>
      </c>
      <c r="E81" t="inlineStr">
        <is>
          <t>AVESTA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4632-2020</t>
        </is>
      </c>
      <c r="B82" s="1" t="n">
        <v>43858</v>
      </c>
      <c r="C82" s="1" t="n">
        <v>45646</v>
      </c>
      <c r="D82" t="inlineStr">
        <is>
          <t>DALARNAS LÄN</t>
        </is>
      </c>
      <c r="E82" t="inlineStr">
        <is>
          <t>AVESTA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10881-2020</t>
        </is>
      </c>
      <c r="B83" s="1" t="n">
        <v>43885</v>
      </c>
      <c r="C83" s="1" t="n">
        <v>45646</v>
      </c>
      <c r="D83" t="inlineStr">
        <is>
          <t>DALARNAS LÄN</t>
        </is>
      </c>
      <c r="E83" t="inlineStr">
        <is>
          <t>AVESTA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11310-2020</t>
        </is>
      </c>
      <c r="B84" s="1" t="n">
        <v>43886</v>
      </c>
      <c r="C84" s="1" t="n">
        <v>45646</v>
      </c>
      <c r="D84" t="inlineStr">
        <is>
          <t>DALARNAS LÄN</t>
        </is>
      </c>
      <c r="E84" t="inlineStr">
        <is>
          <t>AVESTA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11721-2020</t>
        </is>
      </c>
      <c r="B85" s="1" t="n">
        <v>43894</v>
      </c>
      <c r="C85" s="1" t="n">
        <v>45646</v>
      </c>
      <c r="D85" t="inlineStr">
        <is>
          <t>DALARNAS LÄN</t>
        </is>
      </c>
      <c r="E85" t="inlineStr">
        <is>
          <t>AVESTA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11780-2020</t>
        </is>
      </c>
      <c r="B86" s="1" t="n">
        <v>43894</v>
      </c>
      <c r="C86" s="1" t="n">
        <v>45646</v>
      </c>
      <c r="D86" t="inlineStr">
        <is>
          <t>DALARNAS LÄN</t>
        </is>
      </c>
      <c r="E86" t="inlineStr">
        <is>
          <t>AVESTA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13840-2020</t>
        </is>
      </c>
      <c r="B87" s="1" t="n">
        <v>43906</v>
      </c>
      <c r="C87" s="1" t="n">
        <v>45646</v>
      </c>
      <c r="D87" t="inlineStr">
        <is>
          <t>DALARNAS LÄN</t>
        </is>
      </c>
      <c r="E87" t="inlineStr">
        <is>
          <t>AVESTA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17268-2020</t>
        </is>
      </c>
      <c r="B88" s="1" t="n">
        <v>43922</v>
      </c>
      <c r="C88" s="1" t="n">
        <v>45646</v>
      </c>
      <c r="D88" t="inlineStr">
        <is>
          <t>DALARNAS LÄN</t>
        </is>
      </c>
      <c r="E88" t="inlineStr">
        <is>
          <t>AVESTA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18541-2020</t>
        </is>
      </c>
      <c r="B89" s="1" t="n">
        <v>43929</v>
      </c>
      <c r="C89" s="1" t="n">
        <v>45646</v>
      </c>
      <c r="D89" t="inlineStr">
        <is>
          <t>DALARNAS LÄN</t>
        </is>
      </c>
      <c r="E89" t="inlineStr">
        <is>
          <t>AVESTA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18686-2020</t>
        </is>
      </c>
      <c r="B90" s="1" t="n">
        <v>43930</v>
      </c>
      <c r="C90" s="1" t="n">
        <v>45646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20955-2020</t>
        </is>
      </c>
      <c r="B91" s="1" t="n">
        <v>43950</v>
      </c>
      <c r="C91" s="1" t="n">
        <v>45646</v>
      </c>
      <c r="D91" t="inlineStr">
        <is>
          <t>DALARNAS LÄN</t>
        </is>
      </c>
      <c r="E91" t="inlineStr">
        <is>
          <t>AVESTA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21454-2020</t>
        </is>
      </c>
      <c r="B92" s="1" t="n">
        <v>43956</v>
      </c>
      <c r="C92" s="1" t="n">
        <v>45646</v>
      </c>
      <c r="D92" t="inlineStr">
        <is>
          <t>DALARNAS LÄN</t>
        </is>
      </c>
      <c r="E92" t="inlineStr">
        <is>
          <t>AVESTA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21455-2020</t>
        </is>
      </c>
      <c r="B93" s="1" t="n">
        <v>43956</v>
      </c>
      <c r="C93" s="1" t="n">
        <v>45646</v>
      </c>
      <c r="D93" t="inlineStr">
        <is>
          <t>DALARNAS LÄN</t>
        </is>
      </c>
      <c r="E93" t="inlineStr">
        <is>
          <t>AVESTA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21654-2020</t>
        </is>
      </c>
      <c r="B94" s="1" t="n">
        <v>43957</v>
      </c>
      <c r="C94" s="1" t="n">
        <v>45646</v>
      </c>
      <c r="D94" t="inlineStr">
        <is>
          <t>DALARNAS LÄN</t>
        </is>
      </c>
      <c r="E94" t="inlineStr">
        <is>
          <t>AVESTA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24087-2020</t>
        </is>
      </c>
      <c r="B95" s="1" t="n">
        <v>43972</v>
      </c>
      <c r="C95" s="1" t="n">
        <v>45646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24273-2020</t>
        </is>
      </c>
      <c r="B96" s="1" t="n">
        <v>43976</v>
      </c>
      <c r="C96" s="1" t="n">
        <v>45646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24556-2020</t>
        </is>
      </c>
      <c r="B97" s="1" t="n">
        <v>43977</v>
      </c>
      <c r="C97" s="1" t="n">
        <v>45646</v>
      </c>
      <c r="D97" t="inlineStr">
        <is>
          <t>DALARNAS LÄN</t>
        </is>
      </c>
      <c r="E97" t="inlineStr">
        <is>
          <t>AVESTA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24697-2020</t>
        </is>
      </c>
      <c r="B98" s="1" t="n">
        <v>43978</v>
      </c>
      <c r="C98" s="1" t="n">
        <v>45646</v>
      </c>
      <c r="D98" t="inlineStr">
        <is>
          <t>DALARNAS LÄN</t>
        </is>
      </c>
      <c r="E98" t="inlineStr">
        <is>
          <t>AVESTA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25134-2020</t>
        </is>
      </c>
      <c r="B99" s="1" t="n">
        <v>43980</v>
      </c>
      <c r="C99" s="1" t="n">
        <v>45646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26444-2020</t>
        </is>
      </c>
      <c r="B100" s="1" t="n">
        <v>43987</v>
      </c>
      <c r="C100" s="1" t="n">
        <v>45646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26443-2020</t>
        </is>
      </c>
      <c r="B101" s="1" t="n">
        <v>43987</v>
      </c>
      <c r="C101" s="1" t="n">
        <v>45646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28661-2020</t>
        </is>
      </c>
      <c r="B102" s="1" t="n">
        <v>43998</v>
      </c>
      <c r="C102" s="1" t="n">
        <v>45646</v>
      </c>
      <c r="D102" t="inlineStr">
        <is>
          <t>DALARNAS LÄN</t>
        </is>
      </c>
      <c r="E102" t="inlineStr">
        <is>
          <t>AVESTA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33495-2020</t>
        </is>
      </c>
      <c r="B103" s="1" t="n">
        <v>44025</v>
      </c>
      <c r="C103" s="1" t="n">
        <v>45646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35075-2020</t>
        </is>
      </c>
      <c r="B104" s="1" t="n">
        <v>44039</v>
      </c>
      <c r="C104" s="1" t="n">
        <v>45646</v>
      </c>
      <c r="D104" t="inlineStr">
        <is>
          <t>DALARNAS LÄN</t>
        </is>
      </c>
      <c r="E104" t="inlineStr">
        <is>
          <t>AVESTA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36027-2020</t>
        </is>
      </c>
      <c r="B105" s="1" t="n">
        <v>44047</v>
      </c>
      <c r="C105" s="1" t="n">
        <v>45646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36201-2020</t>
        </is>
      </c>
      <c r="B106" s="1" t="n">
        <v>44048</v>
      </c>
      <c r="C106" s="1" t="n">
        <v>45646</v>
      </c>
      <c r="D106" t="inlineStr">
        <is>
          <t>DALARNAS LÄN</t>
        </is>
      </c>
      <c r="E106" t="inlineStr">
        <is>
          <t>AVESTA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36948-2020</t>
        </is>
      </c>
      <c r="B107" s="1" t="n">
        <v>44053</v>
      </c>
      <c r="C107" s="1" t="n">
        <v>45646</v>
      </c>
      <c r="D107" t="inlineStr">
        <is>
          <t>DALARNAS LÄN</t>
        </is>
      </c>
      <c r="E107" t="inlineStr">
        <is>
          <t>AVESTA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38121-2020</t>
        </is>
      </c>
      <c r="B108" s="1" t="n">
        <v>44059</v>
      </c>
      <c r="C108" s="1" t="n">
        <v>45646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39495-2020</t>
        </is>
      </c>
      <c r="B109" s="1" t="n">
        <v>44064</v>
      </c>
      <c r="C109" s="1" t="n">
        <v>45646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42029-2020</t>
        </is>
      </c>
      <c r="B110" s="1" t="n">
        <v>44075</v>
      </c>
      <c r="C110" s="1" t="n">
        <v>45646</v>
      </c>
      <c r="D110" t="inlineStr">
        <is>
          <t>DALARNAS LÄN</t>
        </is>
      </c>
      <c r="E110" t="inlineStr">
        <is>
          <t>AVESTA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43056-2020</t>
        </is>
      </c>
      <c r="B111" s="1" t="n">
        <v>44078</v>
      </c>
      <c r="C111" s="1" t="n">
        <v>45646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43799-2020</t>
        </is>
      </c>
      <c r="B112" s="1" t="n">
        <v>44082</v>
      </c>
      <c r="C112" s="1" t="n">
        <v>45646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43488-2020</t>
        </is>
      </c>
      <c r="B113" s="1" t="n">
        <v>44082</v>
      </c>
      <c r="C113" s="1" t="n">
        <v>45646</v>
      </c>
      <c r="D113" t="inlineStr">
        <is>
          <t>DALARNAS LÄN</t>
        </is>
      </c>
      <c r="E113" t="inlineStr">
        <is>
          <t>AVESTA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HYPERLINK("https://klasma.github.io/Logging_2084/knärot/A 43488-2020 karta knärot.png", "A 43488-2020")</f>
        <v/>
      </c>
      <c r="V113">
        <f>HYPERLINK("https://klasma.github.io/Logging_2084/klagomål/A 43488-2020 FSC-klagomål.docx", "A 43488-2020")</f>
        <v/>
      </c>
      <c r="W113">
        <f>HYPERLINK("https://klasma.github.io/Logging_2084/klagomålsmail/A 43488-2020 FSC-klagomål mail.docx", "A 43488-2020")</f>
        <v/>
      </c>
      <c r="X113">
        <f>HYPERLINK("https://klasma.github.io/Logging_2084/tillsyn/A 43488-2020 tillsynsbegäran.docx", "A 43488-2020")</f>
        <v/>
      </c>
      <c r="Y113">
        <f>HYPERLINK("https://klasma.github.io/Logging_2084/tillsynsmail/A 43488-2020 tillsynsbegäran mail.docx", "A 43488-2020")</f>
        <v/>
      </c>
    </row>
    <row r="114" ht="15" customHeight="1">
      <c r="A114" t="inlineStr">
        <is>
          <t>A 44240-2020</t>
        </is>
      </c>
      <c r="B114" s="1" t="n">
        <v>44084</v>
      </c>
      <c r="C114" s="1" t="n">
        <v>45646</v>
      </c>
      <c r="D114" t="inlineStr">
        <is>
          <t>DALARNAS LÄN</t>
        </is>
      </c>
      <c r="E114" t="inlineStr">
        <is>
          <t>AVESTA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44310-2020</t>
        </is>
      </c>
      <c r="B115" s="1" t="n">
        <v>44084</v>
      </c>
      <c r="C115" s="1" t="n">
        <v>45646</v>
      </c>
      <c r="D115" t="inlineStr">
        <is>
          <t>DALARNAS LÄN</t>
        </is>
      </c>
      <c r="E115" t="inlineStr">
        <is>
          <t>AVESTA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45205-2020</t>
        </is>
      </c>
      <c r="B116" s="1" t="n">
        <v>44088</v>
      </c>
      <c r="C116" s="1" t="n">
        <v>45646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47287-2020</t>
        </is>
      </c>
      <c r="B117" s="1" t="n">
        <v>44097</v>
      </c>
      <c r="C117" s="1" t="n">
        <v>45646</v>
      </c>
      <c r="D117" t="inlineStr">
        <is>
          <t>DALARNAS LÄN</t>
        </is>
      </c>
      <c r="E117" t="inlineStr">
        <is>
          <t>AVESTA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52312-2020</t>
        </is>
      </c>
      <c r="B118" s="1" t="n">
        <v>44117</v>
      </c>
      <c r="C118" s="1" t="n">
        <v>45646</v>
      </c>
      <c r="D118" t="inlineStr">
        <is>
          <t>DALARNAS LÄN</t>
        </is>
      </c>
      <c r="E118" t="inlineStr">
        <is>
          <t>AVESTA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52313-2020</t>
        </is>
      </c>
      <c r="B119" s="1" t="n">
        <v>44117</v>
      </c>
      <c r="C119" s="1" t="n">
        <v>45646</v>
      </c>
      <c r="D119" t="inlineStr">
        <is>
          <t>DALARNAS LÄN</t>
        </is>
      </c>
      <c r="E119" t="inlineStr">
        <is>
          <t>AVESTA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52373-2020</t>
        </is>
      </c>
      <c r="B120" s="1" t="n">
        <v>44118</v>
      </c>
      <c r="C120" s="1" t="n">
        <v>45646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52888-2020</t>
        </is>
      </c>
      <c r="B121" s="1" t="n">
        <v>44119</v>
      </c>
      <c r="C121" s="1" t="n">
        <v>45646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52887-2020</t>
        </is>
      </c>
      <c r="B122" s="1" t="n">
        <v>44119</v>
      </c>
      <c r="C122" s="1" t="n">
        <v>45646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59199-2020</t>
        </is>
      </c>
      <c r="B123" s="1" t="n">
        <v>44147</v>
      </c>
      <c r="C123" s="1" t="n">
        <v>45646</v>
      </c>
      <c r="D123" t="inlineStr">
        <is>
          <t>DALARNAS LÄN</t>
        </is>
      </c>
      <c r="E123" t="inlineStr">
        <is>
          <t>AVESTA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62147-2020</t>
        </is>
      </c>
      <c r="B124" s="1" t="n">
        <v>44159</v>
      </c>
      <c r="C124" s="1" t="n">
        <v>45646</v>
      </c>
      <c r="D124" t="inlineStr">
        <is>
          <t>DALARNAS LÄN</t>
        </is>
      </c>
      <c r="E124" t="inlineStr">
        <is>
          <t>AVESTA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63104-2020</t>
        </is>
      </c>
      <c r="B125" s="1" t="n">
        <v>44159</v>
      </c>
      <c r="C125" s="1" t="n">
        <v>45646</v>
      </c>
      <c r="D125" t="inlineStr">
        <is>
          <t>DALARNAS LÄN</t>
        </is>
      </c>
      <c r="E125" t="inlineStr">
        <is>
          <t>AVESTA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1864-2021</t>
        </is>
      </c>
      <c r="B126" s="1" t="n">
        <v>44210</v>
      </c>
      <c r="C126" s="1" t="n">
        <v>45646</v>
      </c>
      <c r="D126" t="inlineStr">
        <is>
          <t>DALARNAS LÄN</t>
        </is>
      </c>
      <c r="E126" t="inlineStr">
        <is>
          <t>AVESTA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2466-2021</t>
        </is>
      </c>
      <c r="B127" s="1" t="n">
        <v>44214</v>
      </c>
      <c r="C127" s="1" t="n">
        <v>45646</v>
      </c>
      <c r="D127" t="inlineStr">
        <is>
          <t>DALARNAS LÄN</t>
        </is>
      </c>
      <c r="E127" t="inlineStr">
        <is>
          <t>AVESTA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4275-2021</t>
        </is>
      </c>
      <c r="B128" s="1" t="n">
        <v>44223</v>
      </c>
      <c r="C128" s="1" t="n">
        <v>45646</v>
      </c>
      <c r="D128" t="inlineStr">
        <is>
          <t>DALARNAS LÄN</t>
        </is>
      </c>
      <c r="E128" t="inlineStr">
        <is>
          <t>AVESTA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5704-2021</t>
        </is>
      </c>
      <c r="B129" s="1" t="n">
        <v>44230</v>
      </c>
      <c r="C129" s="1" t="n">
        <v>45646</v>
      </c>
      <c r="D129" t="inlineStr">
        <is>
          <t>DALARNAS LÄN</t>
        </is>
      </c>
      <c r="E129" t="inlineStr">
        <is>
          <t>AVESTA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5769-2021</t>
        </is>
      </c>
      <c r="B130" s="1" t="n">
        <v>44230</v>
      </c>
      <c r="C130" s="1" t="n">
        <v>45646</v>
      </c>
      <c r="D130" t="inlineStr">
        <is>
          <t>DALARNAS LÄN</t>
        </is>
      </c>
      <c r="E130" t="inlineStr">
        <is>
          <t>AVESTA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6257-2021</t>
        </is>
      </c>
      <c r="B131" s="1" t="n">
        <v>44232</v>
      </c>
      <c r="C131" s="1" t="n">
        <v>45646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13613-2021</t>
        </is>
      </c>
      <c r="B132" s="1" t="n">
        <v>44274</v>
      </c>
      <c r="C132" s="1" t="n">
        <v>45646</v>
      </c>
      <c r="D132" t="inlineStr">
        <is>
          <t>DALARNAS LÄN</t>
        </is>
      </c>
      <c r="E132" t="inlineStr">
        <is>
          <t>AVESTA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13867-2021</t>
        </is>
      </c>
      <c r="B133" s="1" t="n">
        <v>44277</v>
      </c>
      <c r="C133" s="1" t="n">
        <v>45646</v>
      </c>
      <c r="D133" t="inlineStr">
        <is>
          <t>DALARNAS LÄN</t>
        </is>
      </c>
      <c r="E133" t="inlineStr">
        <is>
          <t>AVESTA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14252-2021</t>
        </is>
      </c>
      <c r="B134" s="1" t="n">
        <v>44278</v>
      </c>
      <c r="C134" s="1" t="n">
        <v>45646</v>
      </c>
      <c r="D134" t="inlineStr">
        <is>
          <t>DALARNAS LÄN</t>
        </is>
      </c>
      <c r="E134" t="inlineStr">
        <is>
          <t>AVESTA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15087-2021</t>
        </is>
      </c>
      <c r="B135" s="1" t="n">
        <v>44281</v>
      </c>
      <c r="C135" s="1" t="n">
        <v>45646</v>
      </c>
      <c r="D135" t="inlineStr">
        <is>
          <t>DALARNAS LÄN</t>
        </is>
      </c>
      <c r="E135" t="inlineStr">
        <is>
          <t>AVESTA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15088-2021</t>
        </is>
      </c>
      <c r="B136" s="1" t="n">
        <v>44281</v>
      </c>
      <c r="C136" s="1" t="n">
        <v>45646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17316-2021</t>
        </is>
      </c>
      <c r="B137" s="1" t="n">
        <v>44298</v>
      </c>
      <c r="C137" s="1" t="n">
        <v>45646</v>
      </c>
      <c r="D137" t="inlineStr">
        <is>
          <t>DALARNAS LÄN</t>
        </is>
      </c>
      <c r="E137" t="inlineStr">
        <is>
          <t>AVESTA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18291-2021</t>
        </is>
      </c>
      <c r="B138" s="1" t="n">
        <v>44305</v>
      </c>
      <c r="C138" s="1" t="n">
        <v>45646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18896-2021</t>
        </is>
      </c>
      <c r="B139" s="1" t="n">
        <v>44308</v>
      </c>
      <c r="C139" s="1" t="n">
        <v>45646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19797-2021</t>
        </is>
      </c>
      <c r="B140" s="1" t="n">
        <v>44309</v>
      </c>
      <c r="C140" s="1" t="n">
        <v>45646</v>
      </c>
      <c r="D140" t="inlineStr">
        <is>
          <t>DALARNAS LÄN</t>
        </is>
      </c>
      <c r="E140" t="inlineStr">
        <is>
          <t>AVESTA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19867-2021</t>
        </is>
      </c>
      <c r="B141" s="1" t="n">
        <v>44313</v>
      </c>
      <c r="C141" s="1" t="n">
        <v>45646</v>
      </c>
      <c r="D141" t="inlineStr">
        <is>
          <t>DALARNAS LÄN</t>
        </is>
      </c>
      <c r="E141" t="inlineStr">
        <is>
          <t>AVESTA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23005-2021</t>
        </is>
      </c>
      <c r="B142" s="1" t="n">
        <v>44328</v>
      </c>
      <c r="C142" s="1" t="n">
        <v>45646</v>
      </c>
      <c r="D142" t="inlineStr">
        <is>
          <t>DALARNAS LÄN</t>
        </is>
      </c>
      <c r="E142" t="inlineStr">
        <is>
          <t>AVESTA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23347-2021</t>
        </is>
      </c>
      <c r="B143" s="1" t="n">
        <v>44333</v>
      </c>
      <c r="C143" s="1" t="n">
        <v>45646</v>
      </c>
      <c r="D143" t="inlineStr">
        <is>
          <t>DALARNAS LÄN</t>
        </is>
      </c>
      <c r="E143" t="inlineStr">
        <is>
          <t>AVESTA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26086-2021</t>
        </is>
      </c>
      <c r="B144" s="1" t="n">
        <v>44344</v>
      </c>
      <c r="C144" s="1" t="n">
        <v>45646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26085-2021</t>
        </is>
      </c>
      <c r="B145" s="1" t="n">
        <v>44344</v>
      </c>
      <c r="C145" s="1" t="n">
        <v>45646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27221-2021</t>
        </is>
      </c>
      <c r="B146" s="1" t="n">
        <v>44350</v>
      </c>
      <c r="C146" s="1" t="n">
        <v>45646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28521-2021</t>
        </is>
      </c>
      <c r="B147" s="1" t="n">
        <v>44356</v>
      </c>
      <c r="C147" s="1" t="n">
        <v>45646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28514-2021</t>
        </is>
      </c>
      <c r="B148" s="1" t="n">
        <v>44356</v>
      </c>
      <c r="C148" s="1" t="n">
        <v>45646</v>
      </c>
      <c r="D148" t="inlineStr">
        <is>
          <t>DALARNAS LÄN</t>
        </is>
      </c>
      <c r="E148" t="inlineStr">
        <is>
          <t>AVESTA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28762-2021</t>
        </is>
      </c>
      <c r="B149" s="1" t="n">
        <v>44357</v>
      </c>
      <c r="C149" s="1" t="n">
        <v>45646</v>
      </c>
      <c r="D149" t="inlineStr">
        <is>
          <t>DALARNAS LÄN</t>
        </is>
      </c>
      <c r="E149" t="inlineStr">
        <is>
          <t>AVESTA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31226-2021</t>
        </is>
      </c>
      <c r="B150" s="1" t="n">
        <v>44368</v>
      </c>
      <c r="C150" s="1" t="n">
        <v>45646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31126-2021</t>
        </is>
      </c>
      <c r="B151" s="1" t="n">
        <v>44368</v>
      </c>
      <c r="C151" s="1" t="n">
        <v>45646</v>
      </c>
      <c r="D151" t="inlineStr">
        <is>
          <t>DALARNAS LÄN</t>
        </is>
      </c>
      <c r="E151" t="inlineStr">
        <is>
          <t>AVESTA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32254-2021</t>
        </is>
      </c>
      <c r="B152" s="1" t="n">
        <v>44371</v>
      </c>
      <c r="C152" s="1" t="n">
        <v>45646</v>
      </c>
      <c r="D152" t="inlineStr">
        <is>
          <t>DALARNAS LÄN</t>
        </is>
      </c>
      <c r="E152" t="inlineStr">
        <is>
          <t>AVESTA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32258-2021</t>
        </is>
      </c>
      <c r="B153" s="1" t="n">
        <v>44371</v>
      </c>
      <c r="C153" s="1" t="n">
        <v>45646</v>
      </c>
      <c r="D153" t="inlineStr">
        <is>
          <t>DALARNAS LÄN</t>
        </is>
      </c>
      <c r="E153" t="inlineStr">
        <is>
          <t>AVESTA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32613-2021</t>
        </is>
      </c>
      <c r="B154" s="1" t="n">
        <v>44375</v>
      </c>
      <c r="C154" s="1" t="n">
        <v>45646</v>
      </c>
      <c r="D154" t="inlineStr">
        <is>
          <t>DALARNAS LÄN</t>
        </is>
      </c>
      <c r="E154" t="inlineStr">
        <is>
          <t>AVESTA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35855-2021</t>
        </is>
      </c>
      <c r="B155" s="1" t="n">
        <v>44386</v>
      </c>
      <c r="C155" s="1" t="n">
        <v>45646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39164-2021</t>
        </is>
      </c>
      <c r="B156" s="1" t="n">
        <v>44412</v>
      </c>
      <c r="C156" s="1" t="n">
        <v>45646</v>
      </c>
      <c r="D156" t="inlineStr">
        <is>
          <t>DALARNAS LÄN</t>
        </is>
      </c>
      <c r="E156" t="inlineStr">
        <is>
          <t>AVESTA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42326-2021</t>
        </is>
      </c>
      <c r="B157" s="1" t="n">
        <v>44427</v>
      </c>
      <c r="C157" s="1" t="n">
        <v>45646</v>
      </c>
      <c r="D157" t="inlineStr">
        <is>
          <t>DALARNAS LÄN</t>
        </is>
      </c>
      <c r="E157" t="inlineStr">
        <is>
          <t>AVESTA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42704-2021</t>
        </is>
      </c>
      <c r="B158" s="1" t="n">
        <v>44428</v>
      </c>
      <c r="C158" s="1" t="n">
        <v>45646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42735-2021</t>
        </is>
      </c>
      <c r="B159" s="1" t="n">
        <v>44428</v>
      </c>
      <c r="C159" s="1" t="n">
        <v>45646</v>
      </c>
      <c r="D159" t="inlineStr">
        <is>
          <t>DALARNAS LÄN</t>
        </is>
      </c>
      <c r="E159" t="inlineStr">
        <is>
          <t>AVESTA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43767-2021</t>
        </is>
      </c>
      <c r="B160" s="1" t="n">
        <v>44433</v>
      </c>
      <c r="C160" s="1" t="n">
        <v>45646</v>
      </c>
      <c r="D160" t="inlineStr">
        <is>
          <t>DALARNAS LÄN</t>
        </is>
      </c>
      <c r="E160" t="inlineStr">
        <is>
          <t>AVESTA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44710-2021</t>
        </is>
      </c>
      <c r="B161" s="1" t="n">
        <v>44438</v>
      </c>
      <c r="C161" s="1" t="n">
        <v>45646</v>
      </c>
      <c r="D161" t="inlineStr">
        <is>
          <t>DALARNAS LÄN</t>
        </is>
      </c>
      <c r="E161" t="inlineStr">
        <is>
          <t>AVESTA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45606-2021</t>
        </is>
      </c>
      <c r="B162" s="1" t="n">
        <v>44440</v>
      </c>
      <c r="C162" s="1" t="n">
        <v>45646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46175-2021</t>
        </is>
      </c>
      <c r="B163" s="1" t="n">
        <v>44442</v>
      </c>
      <c r="C163" s="1" t="n">
        <v>45646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46221-2021</t>
        </is>
      </c>
      <c r="B164" s="1" t="n">
        <v>44442</v>
      </c>
      <c r="C164" s="1" t="n">
        <v>45646</v>
      </c>
      <c r="D164" t="inlineStr">
        <is>
          <t>DALARNAS LÄN</t>
        </is>
      </c>
      <c r="E164" t="inlineStr">
        <is>
          <t>AVESTA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49392-2021</t>
        </is>
      </c>
      <c r="B165" s="1" t="n">
        <v>44454</v>
      </c>
      <c r="C165" s="1" t="n">
        <v>45646</v>
      </c>
      <c r="D165" t="inlineStr">
        <is>
          <t>DALARNAS LÄN</t>
        </is>
      </c>
      <c r="E165" t="inlineStr">
        <is>
          <t>AVESTA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50806-2021</t>
        </is>
      </c>
      <c r="B166" s="1" t="n">
        <v>44459</v>
      </c>
      <c r="C166" s="1" t="n">
        <v>45646</v>
      </c>
      <c r="D166" t="inlineStr">
        <is>
          <t>DALARNAS LÄN</t>
        </is>
      </c>
      <c r="E166" t="inlineStr">
        <is>
          <t>AVESTA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50863-2021</t>
        </is>
      </c>
      <c r="B167" s="1" t="n">
        <v>44460</v>
      </c>
      <c r="C167" s="1" t="n">
        <v>45646</v>
      </c>
      <c r="D167" t="inlineStr">
        <is>
          <t>DALARNAS LÄN</t>
        </is>
      </c>
      <c r="E167" t="inlineStr">
        <is>
          <t>AVESTA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50886-2021</t>
        </is>
      </c>
      <c r="B168" s="1" t="n">
        <v>44460</v>
      </c>
      <c r="C168" s="1" t="n">
        <v>45646</v>
      </c>
      <c r="D168" t="inlineStr">
        <is>
          <t>DALARNAS LÄN</t>
        </is>
      </c>
      <c r="E168" t="inlineStr">
        <is>
          <t>AVESTA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52818-2021</t>
        </is>
      </c>
      <c r="B169" s="1" t="n">
        <v>44467</v>
      </c>
      <c r="C169" s="1" t="n">
        <v>45646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56171-2021</t>
        </is>
      </c>
      <c r="B170" s="1" t="n">
        <v>44477</v>
      </c>
      <c r="C170" s="1" t="n">
        <v>45646</v>
      </c>
      <c r="D170" t="inlineStr">
        <is>
          <t>DALARNAS LÄN</t>
        </is>
      </c>
      <c r="E170" t="inlineStr">
        <is>
          <t>AVESTA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56428-2021</t>
        </is>
      </c>
      <c r="B171" s="1" t="n">
        <v>44480</v>
      </c>
      <c r="C171" s="1" t="n">
        <v>45646</v>
      </c>
      <c r="D171" t="inlineStr">
        <is>
          <t>DALARNAS LÄN</t>
        </is>
      </c>
      <c r="E171" t="inlineStr">
        <is>
          <t>AVESTA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56954-2021</t>
        </is>
      </c>
      <c r="B172" s="1" t="n">
        <v>44482</v>
      </c>
      <c r="C172" s="1" t="n">
        <v>45646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63519-2021</t>
        </is>
      </c>
      <c r="B173" s="1" t="n">
        <v>44508</v>
      </c>
      <c r="C173" s="1" t="n">
        <v>45646</v>
      </c>
      <c r="D173" t="inlineStr">
        <is>
          <t>DALARNAS LÄN</t>
        </is>
      </c>
      <c r="E173" t="inlineStr">
        <is>
          <t>AVESTA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64768-2021</t>
        </is>
      </c>
      <c r="B174" s="1" t="n">
        <v>44512</v>
      </c>
      <c r="C174" s="1" t="n">
        <v>45646</v>
      </c>
      <c r="D174" t="inlineStr">
        <is>
          <t>DALARNAS LÄN</t>
        </is>
      </c>
      <c r="E174" t="inlineStr">
        <is>
          <t>AVESTA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65738-2021</t>
        </is>
      </c>
      <c r="B175" s="1" t="n">
        <v>44516</v>
      </c>
      <c r="C175" s="1" t="n">
        <v>45646</v>
      </c>
      <c r="D175" t="inlineStr">
        <is>
          <t>DALARNAS LÄN</t>
        </is>
      </c>
      <c r="E175" t="inlineStr">
        <is>
          <t>AVESTA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73172-2021</t>
        </is>
      </c>
      <c r="B176" s="1" t="n">
        <v>44550</v>
      </c>
      <c r="C176" s="1" t="n">
        <v>45646</v>
      </c>
      <c r="D176" t="inlineStr">
        <is>
          <t>DALARNAS LÄN</t>
        </is>
      </c>
      <c r="E176" t="inlineStr">
        <is>
          <t>AVESTA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73377-2021</t>
        </is>
      </c>
      <c r="B177" s="1" t="n">
        <v>44551</v>
      </c>
      <c r="C177" s="1" t="n">
        <v>45646</v>
      </c>
      <c r="D177" t="inlineStr">
        <is>
          <t>DALARNAS LÄN</t>
        </is>
      </c>
      <c r="E177" t="inlineStr">
        <is>
          <t>AVESTA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863-2022</t>
        </is>
      </c>
      <c r="B178" s="1" t="n">
        <v>44571</v>
      </c>
      <c r="C178" s="1" t="n">
        <v>45646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1977-2022</t>
        </is>
      </c>
      <c r="B179" s="1" t="n">
        <v>44575</v>
      </c>
      <c r="C179" s="1" t="n">
        <v>45646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2808-2022</t>
        </is>
      </c>
      <c r="B180" s="1" t="n">
        <v>44581</v>
      </c>
      <c r="C180" s="1" t="n">
        <v>45646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2792-2022</t>
        </is>
      </c>
      <c r="B181" s="1" t="n">
        <v>44581</v>
      </c>
      <c r="C181" s="1" t="n">
        <v>45646</v>
      </c>
      <c r="D181" t="inlineStr">
        <is>
          <t>DALARNAS LÄN</t>
        </is>
      </c>
      <c r="E181" t="inlineStr">
        <is>
          <t>AVESTA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2800-2022</t>
        </is>
      </c>
      <c r="B182" s="1" t="n">
        <v>44581</v>
      </c>
      <c r="C182" s="1" t="n">
        <v>45646</v>
      </c>
      <c r="D182" t="inlineStr">
        <is>
          <t>DALARNAS LÄN</t>
        </is>
      </c>
      <c r="E182" t="inlineStr">
        <is>
          <t>AVESTA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3806-2022</t>
        </is>
      </c>
      <c r="B183" s="1" t="n">
        <v>44587</v>
      </c>
      <c r="C183" s="1" t="n">
        <v>45646</v>
      </c>
      <c r="D183" t="inlineStr">
        <is>
          <t>DALARNAS LÄN</t>
        </is>
      </c>
      <c r="E183" t="inlineStr">
        <is>
          <t>AVESTA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7814-2022</t>
        </is>
      </c>
      <c r="B184" s="1" t="n">
        <v>44608</v>
      </c>
      <c r="C184" s="1" t="n">
        <v>45646</v>
      </c>
      <c r="D184" t="inlineStr">
        <is>
          <t>DALARNAS LÄN</t>
        </is>
      </c>
      <c r="E184" t="inlineStr">
        <is>
          <t>AVESTA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8759-2022</t>
        </is>
      </c>
      <c r="B185" s="1" t="n">
        <v>44613</v>
      </c>
      <c r="C185" s="1" t="n">
        <v>45646</v>
      </c>
      <c r="D185" t="inlineStr">
        <is>
          <t>DALARNAS LÄN</t>
        </is>
      </c>
      <c r="E185" t="inlineStr">
        <is>
          <t>AVESTA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8785-2022</t>
        </is>
      </c>
      <c r="B186" s="1" t="n">
        <v>44614</v>
      </c>
      <c r="C186" s="1" t="n">
        <v>45646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9403-2022</t>
        </is>
      </c>
      <c r="B187" s="1" t="n">
        <v>44616</v>
      </c>
      <c r="C187" s="1" t="n">
        <v>45646</v>
      </c>
      <c r="D187" t="inlineStr">
        <is>
          <t>DALARNAS LÄN</t>
        </is>
      </c>
      <c r="E187" t="inlineStr">
        <is>
          <t>AVESTA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12994-2022</t>
        </is>
      </c>
      <c r="B188" s="1" t="n">
        <v>44643</v>
      </c>
      <c r="C188" s="1" t="n">
        <v>45646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13922-2022</t>
        </is>
      </c>
      <c r="B189" s="1" t="n">
        <v>44650</v>
      </c>
      <c r="C189" s="1" t="n">
        <v>45646</v>
      </c>
      <c r="D189" t="inlineStr">
        <is>
          <t>DALARNAS LÄN</t>
        </is>
      </c>
      <c r="E189" t="inlineStr">
        <is>
          <t>AVESTA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17640-2022</t>
        </is>
      </c>
      <c r="B190" s="1" t="n">
        <v>44680</v>
      </c>
      <c r="C190" s="1" t="n">
        <v>45646</v>
      </c>
      <c r="D190" t="inlineStr">
        <is>
          <t>DALARNAS LÄN</t>
        </is>
      </c>
      <c r="E190" t="inlineStr">
        <is>
          <t>AVESTA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18112-2022</t>
        </is>
      </c>
      <c r="B191" s="1" t="n">
        <v>44684</v>
      </c>
      <c r="C191" s="1" t="n">
        <v>45646</v>
      </c>
      <c r="D191" t="inlineStr">
        <is>
          <t>DALARNAS LÄN</t>
        </is>
      </c>
      <c r="E191" t="inlineStr">
        <is>
          <t>AVESTA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18679-2022</t>
        </is>
      </c>
      <c r="B192" s="1" t="n">
        <v>44687</v>
      </c>
      <c r="C192" s="1" t="n">
        <v>45646</v>
      </c>
      <c r="D192" t="inlineStr">
        <is>
          <t>DALARNAS LÄN</t>
        </is>
      </c>
      <c r="E192" t="inlineStr">
        <is>
          <t>AVESTA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23365-2022</t>
        </is>
      </c>
      <c r="B193" s="1" t="n">
        <v>44720</v>
      </c>
      <c r="C193" s="1" t="n">
        <v>45646</v>
      </c>
      <c r="D193" t="inlineStr">
        <is>
          <t>DALARNAS LÄN</t>
        </is>
      </c>
      <c r="E193" t="inlineStr">
        <is>
          <t>AVESTA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23976-2022</t>
        </is>
      </c>
      <c r="B194" s="1" t="n">
        <v>44722</v>
      </c>
      <c r="C194" s="1" t="n">
        <v>45646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25180-2022</t>
        </is>
      </c>
      <c r="B195" s="1" t="n">
        <v>44729</v>
      </c>
      <c r="C195" s="1" t="n">
        <v>45646</v>
      </c>
      <c r="D195" t="inlineStr">
        <is>
          <t>DALARNAS LÄN</t>
        </is>
      </c>
      <c r="E195" t="inlineStr">
        <is>
          <t>AVESTA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25960-2022</t>
        </is>
      </c>
      <c r="B196" s="1" t="n">
        <v>44734</v>
      </c>
      <c r="C196" s="1" t="n">
        <v>45646</v>
      </c>
      <c r="D196" t="inlineStr">
        <is>
          <t>DALARNAS LÄN</t>
        </is>
      </c>
      <c r="E196" t="inlineStr">
        <is>
          <t>AVESTA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26516-2022</t>
        </is>
      </c>
      <c r="B197" s="1" t="n">
        <v>44739</v>
      </c>
      <c r="C197" s="1" t="n">
        <v>45646</v>
      </c>
      <c r="D197" t="inlineStr">
        <is>
          <t>DALARNAS LÄN</t>
        </is>
      </c>
      <c r="E197" t="inlineStr">
        <is>
          <t>AVESTA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26527-2022</t>
        </is>
      </c>
      <c r="B198" s="1" t="n">
        <v>44739</v>
      </c>
      <c r="C198" s="1" t="n">
        <v>45646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28108-2022</t>
        </is>
      </c>
      <c r="B199" s="1" t="n">
        <v>44746</v>
      </c>
      <c r="C199" s="1" t="n">
        <v>45646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28090-2022</t>
        </is>
      </c>
      <c r="B200" s="1" t="n">
        <v>44746</v>
      </c>
      <c r="C200" s="1" t="n">
        <v>45646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28403-2022</t>
        </is>
      </c>
      <c r="B201" s="1" t="n">
        <v>44747</v>
      </c>
      <c r="C201" s="1" t="n">
        <v>45646</v>
      </c>
      <c r="D201" t="inlineStr">
        <is>
          <t>DALARNAS LÄN</t>
        </is>
      </c>
      <c r="E201" t="inlineStr">
        <is>
          <t>AVESTA</t>
        </is>
      </c>
      <c r="G201" t="n">
        <v>15.7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29464-2022</t>
        </is>
      </c>
      <c r="B202" s="1" t="n">
        <v>44753</v>
      </c>
      <c r="C202" s="1" t="n">
        <v>45646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29468-2022</t>
        </is>
      </c>
      <c r="B203" s="1" t="n">
        <v>44753</v>
      </c>
      <c r="C203" s="1" t="n">
        <v>45646</v>
      </c>
      <c r="D203" t="inlineStr">
        <is>
          <t>DALARNAS LÄN</t>
        </is>
      </c>
      <c r="E203" t="inlineStr">
        <is>
          <t>AVESTA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29879-2022</t>
        </is>
      </c>
      <c r="B204" s="1" t="n">
        <v>44756</v>
      </c>
      <c r="C204" s="1" t="n">
        <v>45646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30446-2022</t>
        </is>
      </c>
      <c r="B205" s="1" t="n">
        <v>44761</v>
      </c>
      <c r="C205" s="1" t="n">
        <v>45646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31016-2022</t>
        </is>
      </c>
      <c r="B206" s="1" t="n">
        <v>44768</v>
      </c>
      <c r="C206" s="1" t="n">
        <v>45646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33655-2022</t>
        </is>
      </c>
      <c r="B207" s="1" t="n">
        <v>44789</v>
      </c>
      <c r="C207" s="1" t="n">
        <v>45646</v>
      </c>
      <c r="D207" t="inlineStr">
        <is>
          <t>DALARNAS LÄN</t>
        </is>
      </c>
      <c r="E207" t="inlineStr">
        <is>
          <t>AVESTA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33777-2022</t>
        </is>
      </c>
      <c r="B208" s="1" t="n">
        <v>44790</v>
      </c>
      <c r="C208" s="1" t="n">
        <v>45646</v>
      </c>
      <c r="D208" t="inlineStr">
        <is>
          <t>DALARNAS LÄN</t>
        </is>
      </c>
      <c r="E208" t="inlineStr">
        <is>
          <t>AVESTA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37534-2022</t>
        </is>
      </c>
      <c r="B209" s="1" t="n">
        <v>44809</v>
      </c>
      <c r="C209" s="1" t="n">
        <v>45646</v>
      </c>
      <c r="D209" t="inlineStr">
        <is>
          <t>DALARNAS LÄN</t>
        </is>
      </c>
      <c r="E209" t="inlineStr">
        <is>
          <t>AVESTA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41981-2022</t>
        </is>
      </c>
      <c r="B210" s="1" t="n">
        <v>44830</v>
      </c>
      <c r="C210" s="1" t="n">
        <v>45646</v>
      </c>
      <c r="D210" t="inlineStr">
        <is>
          <t>DALARNAS LÄN</t>
        </is>
      </c>
      <c r="E210" t="inlineStr">
        <is>
          <t>AVESTA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42591-2022</t>
        </is>
      </c>
      <c r="B211" s="1" t="n">
        <v>44831</v>
      </c>
      <c r="C211" s="1" t="n">
        <v>45646</v>
      </c>
      <c r="D211" t="inlineStr">
        <is>
          <t>DALARNAS LÄN</t>
        </is>
      </c>
      <c r="E211" t="inlineStr">
        <is>
          <t>AVESTA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42837-2022</t>
        </is>
      </c>
      <c r="B212" s="1" t="n">
        <v>44832</v>
      </c>
      <c r="C212" s="1" t="n">
        <v>45646</v>
      </c>
      <c r="D212" t="inlineStr">
        <is>
          <t>DALARNAS LÄN</t>
        </is>
      </c>
      <c r="E212" t="inlineStr">
        <is>
          <t>AVESTA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44141-2022</t>
        </is>
      </c>
      <c r="B213" s="1" t="n">
        <v>44839</v>
      </c>
      <c r="C213" s="1" t="n">
        <v>45646</v>
      </c>
      <c r="D213" t="inlineStr">
        <is>
          <t>DALARNAS LÄN</t>
        </is>
      </c>
      <c r="E213" t="inlineStr">
        <is>
          <t>AVESTA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44133-2022</t>
        </is>
      </c>
      <c r="B214" s="1" t="n">
        <v>44839</v>
      </c>
      <c r="C214" s="1" t="n">
        <v>45646</v>
      </c>
      <c r="D214" t="inlineStr">
        <is>
          <t>DALARNAS LÄN</t>
        </is>
      </c>
      <c r="E214" t="inlineStr">
        <is>
          <t>AVESTA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44474-2022</t>
        </is>
      </c>
      <c r="B215" s="1" t="n">
        <v>44840</v>
      </c>
      <c r="C215" s="1" t="n">
        <v>45646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46819-2022</t>
        </is>
      </c>
      <c r="B216" s="1" t="n">
        <v>44851</v>
      </c>
      <c r="C216" s="1" t="n">
        <v>45646</v>
      </c>
      <c r="D216" t="inlineStr">
        <is>
          <t>DALARNAS LÄN</t>
        </is>
      </c>
      <c r="E216" t="inlineStr">
        <is>
          <t>AVESTA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47867-2022</t>
        </is>
      </c>
      <c r="B217" s="1" t="n">
        <v>44855</v>
      </c>
      <c r="C217" s="1" t="n">
        <v>45646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48746-2022</t>
        </is>
      </c>
      <c r="B218" s="1" t="n">
        <v>44855</v>
      </c>
      <c r="C218" s="1" t="n">
        <v>45646</v>
      </c>
      <c r="D218" t="inlineStr">
        <is>
          <t>DALARNAS LÄN</t>
        </is>
      </c>
      <c r="E218" t="inlineStr">
        <is>
          <t>AVESTA</t>
        </is>
      </c>
      <c r="G218" t="n">
        <v>36.8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49358-2022</t>
        </is>
      </c>
      <c r="B219" s="1" t="n">
        <v>44861</v>
      </c>
      <c r="C219" s="1" t="n">
        <v>45646</v>
      </c>
      <c r="D219" t="inlineStr">
        <is>
          <t>DALARNAS LÄN</t>
        </is>
      </c>
      <c r="E219" t="inlineStr">
        <is>
          <t>AVESTA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49614-2022</t>
        </is>
      </c>
      <c r="B220" s="1" t="n">
        <v>44862</v>
      </c>
      <c r="C220" s="1" t="n">
        <v>45646</v>
      </c>
      <c r="D220" t="inlineStr">
        <is>
          <t>DALARNAS LÄN</t>
        </is>
      </c>
      <c r="E220" t="inlineStr">
        <is>
          <t>AVESTA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49618-2022</t>
        </is>
      </c>
      <c r="B221" s="1" t="n">
        <v>44862</v>
      </c>
      <c r="C221" s="1" t="n">
        <v>45646</v>
      </c>
      <c r="D221" t="inlineStr">
        <is>
          <t>DALARNAS LÄN</t>
        </is>
      </c>
      <c r="E221" t="inlineStr">
        <is>
          <t>AVESTA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49628-2022</t>
        </is>
      </c>
      <c r="B222" s="1" t="n">
        <v>44862</v>
      </c>
      <c r="C222" s="1" t="n">
        <v>45646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49615-2022</t>
        </is>
      </c>
      <c r="B223" s="1" t="n">
        <v>44862</v>
      </c>
      <c r="C223" s="1" t="n">
        <v>45646</v>
      </c>
      <c r="D223" t="inlineStr">
        <is>
          <t>DALARNAS LÄN</t>
        </is>
      </c>
      <c r="E223" t="inlineStr">
        <is>
          <t>AVESTA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49619-2022</t>
        </is>
      </c>
      <c r="B224" s="1" t="n">
        <v>44862</v>
      </c>
      <c r="C224" s="1" t="n">
        <v>45646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50900-2022</t>
        </is>
      </c>
      <c r="B225" s="1" t="n">
        <v>44865</v>
      </c>
      <c r="C225" s="1" t="n">
        <v>45646</v>
      </c>
      <c r="D225" t="inlineStr">
        <is>
          <t>DALARNAS LÄN</t>
        </is>
      </c>
      <c r="E225" t="inlineStr">
        <is>
          <t>AVESTA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51789-2022</t>
        </is>
      </c>
      <c r="B226" s="1" t="n">
        <v>44867</v>
      </c>
      <c r="C226" s="1" t="n">
        <v>45646</v>
      </c>
      <c r="D226" t="inlineStr">
        <is>
          <t>DALARNAS LÄN</t>
        </is>
      </c>
      <c r="E226" t="inlineStr">
        <is>
          <t>AVESTA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51671-2022</t>
        </is>
      </c>
      <c r="B227" s="1" t="n">
        <v>44872</v>
      </c>
      <c r="C227" s="1" t="n">
        <v>45646</v>
      </c>
      <c r="D227" t="inlineStr">
        <is>
          <t>DALARNAS LÄN</t>
        </is>
      </c>
      <c r="E227" t="inlineStr">
        <is>
          <t>AVESTA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52280-2022</t>
        </is>
      </c>
      <c r="B228" s="1" t="n">
        <v>44873</v>
      </c>
      <c r="C228" s="1" t="n">
        <v>45646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52767-2022</t>
        </is>
      </c>
      <c r="B229" s="1" t="n">
        <v>44875</v>
      </c>
      <c r="C229" s="1" t="n">
        <v>45646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53119-2022</t>
        </is>
      </c>
      <c r="B230" s="1" t="n">
        <v>44876</v>
      </c>
      <c r="C230" s="1" t="n">
        <v>45646</v>
      </c>
      <c r="D230" t="inlineStr">
        <is>
          <t>DALARNAS LÄN</t>
        </is>
      </c>
      <c r="E230" t="inlineStr">
        <is>
          <t>AVESTA</t>
        </is>
      </c>
      <c r="F230" t="inlineStr">
        <is>
          <t>Kyrkan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56546-2022</t>
        </is>
      </c>
      <c r="B231" s="1" t="n">
        <v>44887</v>
      </c>
      <c r="C231" s="1" t="n">
        <v>45646</v>
      </c>
      <c r="D231" t="inlineStr">
        <is>
          <t>DALARNAS LÄN</t>
        </is>
      </c>
      <c r="E231" t="inlineStr">
        <is>
          <t>AVESTA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56464-2022</t>
        </is>
      </c>
      <c r="B232" s="1" t="n">
        <v>44893</v>
      </c>
      <c r="C232" s="1" t="n">
        <v>45646</v>
      </c>
      <c r="D232" t="inlineStr">
        <is>
          <t>DALARNAS LÄN</t>
        </is>
      </c>
      <c r="E232" t="inlineStr">
        <is>
          <t>AVESTA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56757-2022</t>
        </is>
      </c>
      <c r="B233" s="1" t="n">
        <v>44894</v>
      </c>
      <c r="C233" s="1" t="n">
        <v>45646</v>
      </c>
      <c r="D233" t="inlineStr">
        <is>
          <t>DALARNAS LÄN</t>
        </is>
      </c>
      <c r="E233" t="inlineStr">
        <is>
          <t>AVESTA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58094-2022</t>
        </is>
      </c>
      <c r="B234" s="1" t="n">
        <v>44900</v>
      </c>
      <c r="C234" s="1" t="n">
        <v>45646</v>
      </c>
      <c r="D234" t="inlineStr">
        <is>
          <t>DALARNAS LÄN</t>
        </is>
      </c>
      <c r="E234" t="inlineStr">
        <is>
          <t>AVESTA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58526-2022</t>
        </is>
      </c>
      <c r="B235" s="1" t="n">
        <v>44902</v>
      </c>
      <c r="C235" s="1" t="n">
        <v>45646</v>
      </c>
      <c r="D235" t="inlineStr">
        <is>
          <t>DALARNAS LÄN</t>
        </is>
      </c>
      <c r="E235" t="inlineStr">
        <is>
          <t>AVESTA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59869-2022</t>
        </is>
      </c>
      <c r="B236" s="1" t="n">
        <v>44908</v>
      </c>
      <c r="C236" s="1" t="n">
        <v>45646</v>
      </c>
      <c r="D236" t="inlineStr">
        <is>
          <t>DALARNAS LÄN</t>
        </is>
      </c>
      <c r="E236" t="inlineStr">
        <is>
          <t>AVESTA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173-2023</t>
        </is>
      </c>
      <c r="B237" s="1" t="n">
        <v>44922</v>
      </c>
      <c r="C237" s="1" t="n">
        <v>45646</v>
      </c>
      <c r="D237" t="inlineStr">
        <is>
          <t>DALARNAS LÄN</t>
        </is>
      </c>
      <c r="E237" t="inlineStr">
        <is>
          <t>AVESTA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3305-2023</t>
        </is>
      </c>
      <c r="B238" s="1" t="n">
        <v>44949</v>
      </c>
      <c r="C238" s="1" t="n">
        <v>45646</v>
      </c>
      <c r="D238" t="inlineStr">
        <is>
          <t>DALARNAS LÄN</t>
        </is>
      </c>
      <c r="E238" t="inlineStr">
        <is>
          <t>AVESTA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3638-2023</t>
        </is>
      </c>
      <c r="B239" s="1" t="n">
        <v>44950</v>
      </c>
      <c r="C239" s="1" t="n">
        <v>45646</v>
      </c>
      <c r="D239" t="inlineStr">
        <is>
          <t>DALARNAS LÄN</t>
        </is>
      </c>
      <c r="E239" t="inlineStr">
        <is>
          <t>AVESTA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3798-2023</t>
        </is>
      </c>
      <c r="B240" s="1" t="n">
        <v>44951</v>
      </c>
      <c r="C240" s="1" t="n">
        <v>45646</v>
      </c>
      <c r="D240" t="inlineStr">
        <is>
          <t>DALARNAS LÄN</t>
        </is>
      </c>
      <c r="E240" t="inlineStr">
        <is>
          <t>AVESTA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6262-2023</t>
        </is>
      </c>
      <c r="B241" s="1" t="n">
        <v>44963</v>
      </c>
      <c r="C241" s="1" t="n">
        <v>45646</v>
      </c>
      <c r="D241" t="inlineStr">
        <is>
          <t>DALARNAS LÄN</t>
        </is>
      </c>
      <c r="E241" t="inlineStr">
        <is>
          <t>AVESTA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6587-2023</t>
        </is>
      </c>
      <c r="B242" s="1" t="n">
        <v>44966</v>
      </c>
      <c r="C242" s="1" t="n">
        <v>45646</v>
      </c>
      <c r="D242" t="inlineStr">
        <is>
          <t>DALARNAS LÄN</t>
        </is>
      </c>
      <c r="E242" t="inlineStr">
        <is>
          <t>AVESTA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6521-2023</t>
        </is>
      </c>
      <c r="B243" s="1" t="n">
        <v>44966</v>
      </c>
      <c r="C243" s="1" t="n">
        <v>45646</v>
      </c>
      <c r="D243" t="inlineStr">
        <is>
          <t>DALARNAS LÄN</t>
        </is>
      </c>
      <c r="E243" t="inlineStr">
        <is>
          <t>AVESTA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6971-2023</t>
        </is>
      </c>
      <c r="B244" s="1" t="n">
        <v>44967</v>
      </c>
      <c r="C244" s="1" t="n">
        <v>45646</v>
      </c>
      <c r="D244" t="inlineStr">
        <is>
          <t>DALARNAS LÄN</t>
        </is>
      </c>
      <c r="E244" t="inlineStr">
        <is>
          <t>AVESTA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7317-2023</t>
        </is>
      </c>
      <c r="B245" s="1" t="n">
        <v>44970</v>
      </c>
      <c r="C245" s="1" t="n">
        <v>45646</v>
      </c>
      <c r="D245" t="inlineStr">
        <is>
          <t>DALARNAS LÄN</t>
        </is>
      </c>
      <c r="E245" t="inlineStr">
        <is>
          <t>AVESTA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7493-2023</t>
        </is>
      </c>
      <c r="B246" s="1" t="n">
        <v>44971</v>
      </c>
      <c r="C246" s="1" t="n">
        <v>45646</v>
      </c>
      <c r="D246" t="inlineStr">
        <is>
          <t>DALARNAS LÄN</t>
        </is>
      </c>
      <c r="E246" t="inlineStr">
        <is>
          <t>AVESTA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7490-2023</t>
        </is>
      </c>
      <c r="B247" s="1" t="n">
        <v>44971</v>
      </c>
      <c r="C247" s="1" t="n">
        <v>45646</v>
      </c>
      <c r="D247" t="inlineStr">
        <is>
          <t>DALARNAS LÄN</t>
        </is>
      </c>
      <c r="E247" t="inlineStr">
        <is>
          <t>AVESTA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7604-2023</t>
        </is>
      </c>
      <c r="B248" s="1" t="n">
        <v>44972</v>
      </c>
      <c r="C248" s="1" t="n">
        <v>45646</v>
      </c>
      <c r="D248" t="inlineStr">
        <is>
          <t>DALARNAS LÄN</t>
        </is>
      </c>
      <c r="E248" t="inlineStr">
        <is>
          <t>AVESTA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8524-2023</t>
        </is>
      </c>
      <c r="B249" s="1" t="n">
        <v>44972</v>
      </c>
      <c r="C249" s="1" t="n">
        <v>45646</v>
      </c>
      <c r="D249" t="inlineStr">
        <is>
          <t>DALARNAS LÄN</t>
        </is>
      </c>
      <c r="E249" t="inlineStr">
        <is>
          <t>AVESTA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8698-2023</t>
        </is>
      </c>
      <c r="B250" s="1" t="n">
        <v>44972</v>
      </c>
      <c r="C250" s="1" t="n">
        <v>45646</v>
      </c>
      <c r="D250" t="inlineStr">
        <is>
          <t>DALARNAS LÄN</t>
        </is>
      </c>
      <c r="E250" t="inlineStr">
        <is>
          <t>AVESTA</t>
        </is>
      </c>
      <c r="G250" t="n">
        <v>17.2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8520-2023</t>
        </is>
      </c>
      <c r="B251" s="1" t="n">
        <v>44972</v>
      </c>
      <c r="C251" s="1" t="n">
        <v>45646</v>
      </c>
      <c r="D251" t="inlineStr">
        <is>
          <t>DALARNAS LÄN</t>
        </is>
      </c>
      <c r="E251" t="inlineStr">
        <is>
          <t>AVESTA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8521-2023</t>
        </is>
      </c>
      <c r="B252" s="1" t="n">
        <v>44977</v>
      </c>
      <c r="C252" s="1" t="n">
        <v>45646</v>
      </c>
      <c r="D252" t="inlineStr">
        <is>
          <t>DALARNAS LÄN</t>
        </is>
      </c>
      <c r="E252" t="inlineStr">
        <is>
          <t>AVESTA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8523-2023</t>
        </is>
      </c>
      <c r="B253" s="1" t="n">
        <v>44977</v>
      </c>
      <c r="C253" s="1" t="n">
        <v>45646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9148-2023</t>
        </is>
      </c>
      <c r="B254" s="1" t="n">
        <v>44980</v>
      </c>
      <c r="C254" s="1" t="n">
        <v>45646</v>
      </c>
      <c r="D254" t="inlineStr">
        <is>
          <t>DALARNAS LÄN</t>
        </is>
      </c>
      <c r="E254" t="inlineStr">
        <is>
          <t>AVESTA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9395-2023</t>
        </is>
      </c>
      <c r="B255" s="1" t="n">
        <v>44981</v>
      </c>
      <c r="C255" s="1" t="n">
        <v>45646</v>
      </c>
      <c r="D255" t="inlineStr">
        <is>
          <t>DALARNAS LÄN</t>
        </is>
      </c>
      <c r="E255" t="inlineStr">
        <is>
          <t>AVESTA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11425-2023</t>
        </is>
      </c>
      <c r="B256" s="1" t="n">
        <v>44993</v>
      </c>
      <c r="C256" s="1" t="n">
        <v>45646</v>
      </c>
      <c r="D256" t="inlineStr">
        <is>
          <t>DALARNAS LÄN</t>
        </is>
      </c>
      <c r="E256" t="inlineStr">
        <is>
          <t>AVESTA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11449-2023</t>
        </is>
      </c>
      <c r="B257" s="1" t="n">
        <v>44993</v>
      </c>
      <c r="C257" s="1" t="n">
        <v>45646</v>
      </c>
      <c r="D257" t="inlineStr">
        <is>
          <t>DALARNAS LÄN</t>
        </is>
      </c>
      <c r="E257" t="inlineStr">
        <is>
          <t>AVESTA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12087-2023</t>
        </is>
      </c>
      <c r="B258" s="1" t="n">
        <v>44998</v>
      </c>
      <c r="C258" s="1" t="n">
        <v>45646</v>
      </c>
      <c r="D258" t="inlineStr">
        <is>
          <t>DALARNAS LÄN</t>
        </is>
      </c>
      <c r="E258" t="inlineStr">
        <is>
          <t>AVESTA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12167-2023</t>
        </is>
      </c>
      <c r="B259" s="1" t="n">
        <v>44998</v>
      </c>
      <c r="C259" s="1" t="n">
        <v>45646</v>
      </c>
      <c r="D259" t="inlineStr">
        <is>
          <t>DALARNAS LÄN</t>
        </is>
      </c>
      <c r="E259" t="inlineStr">
        <is>
          <t>AVESTA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12165-2023</t>
        </is>
      </c>
      <c r="B260" s="1" t="n">
        <v>44998</v>
      </c>
      <c r="C260" s="1" t="n">
        <v>45646</v>
      </c>
      <c r="D260" t="inlineStr">
        <is>
          <t>DALARNAS LÄN</t>
        </is>
      </c>
      <c r="E260" t="inlineStr">
        <is>
          <t>AVESTA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12351-2023</t>
        </is>
      </c>
      <c r="B261" s="1" t="n">
        <v>44999</v>
      </c>
      <c r="C261" s="1" t="n">
        <v>45646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12357-2023</t>
        </is>
      </c>
      <c r="B262" s="1" t="n">
        <v>44999</v>
      </c>
      <c r="C262" s="1" t="n">
        <v>45646</v>
      </c>
      <c r="D262" t="inlineStr">
        <is>
          <t>DALARNAS LÄN</t>
        </is>
      </c>
      <c r="E262" t="inlineStr">
        <is>
          <t>AVESTA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45646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45646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45646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45646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45646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45646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45646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45646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45646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45646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45646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45646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45646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45646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45646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45646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45646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45646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45646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45646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45646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45646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45646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45646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45646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45646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45646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45646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45646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45646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45646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45646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45646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45646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45646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45646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45646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45646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45646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45646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45646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45646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45646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45646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45646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45646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45646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45646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45646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45646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45646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45646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45646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45646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45646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45646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45646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45646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45646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45646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45646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45646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45646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45646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45646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45646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45646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45646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45646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45646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45646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45646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45646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45646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45646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45646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45646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45646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45646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45646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45646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45646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45646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45646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45646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45646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45646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45646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45646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45646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45646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45646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45646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45646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45646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45646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45646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45646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45646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45646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45646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45646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45646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45646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45646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45646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45646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45646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45646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45646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45646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45646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45646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45646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45646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45646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45646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45646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45646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45646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45646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45646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45646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45646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45646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45646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45646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45646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45646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45646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45646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45646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45646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45646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45646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45646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45646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45646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45646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45646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45646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45646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45646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45646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45646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45646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45646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45646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45646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45646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45646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45646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45646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45646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45646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45646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45646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45646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45646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45646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45646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45646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45646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45646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45646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45646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45646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45646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45646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45646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45646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45646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45646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45646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45646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45646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45646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45646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45646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45646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45646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45646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45646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45646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45646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45646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45646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45646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45646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45646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45646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45646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45646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45646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45646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45646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45646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45646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45646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45646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45646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45646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45646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45646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45646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45646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45646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45646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45646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45646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45646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45646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45646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45646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45646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45646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45646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45646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45646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45646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45646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45646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45646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45646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45646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45646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45646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45646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45646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45646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45646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45646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45646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45646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45646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45646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45646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45646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45646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45646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45646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45646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45646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45646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45646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45646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45646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45646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45646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45646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45646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45646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45646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45646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45646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45646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45646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45646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45646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45646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45646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45646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45646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45646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45646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45646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45646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45646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45646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45646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59683-2024</t>
        </is>
      </c>
      <c r="B533" s="1" t="n">
        <v>45639</v>
      </c>
      <c r="C533" s="1" t="n">
        <v>45646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2024-12-20T15:12:48Z</dcterms:created>
  <dcterms:modified xmlns:dcterms="http://purl.org/dc/terms/" xmlns:xsi="http://www.w3.org/2001/XMLSchema-instance" xsi:type="dcterms:W3CDTF">2024-12-20T15:12:57Z</dcterms:modified>
</cp:coreProperties>
</file>