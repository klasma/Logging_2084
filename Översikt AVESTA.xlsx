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45474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45474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45474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45474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45474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45474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45474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45474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45474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45474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45474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45474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45474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45474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45474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45474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45474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45474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45474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12997-2022</t>
        </is>
      </c>
      <c r="B21" s="1" t="n">
        <v>44643</v>
      </c>
      <c r="C21" s="1" t="n">
        <v>45474</v>
      </c>
      <c r="D21" t="inlineStr">
        <is>
          <t>DALARNAS LÄN</t>
        </is>
      </c>
      <c r="E21" t="inlineStr">
        <is>
          <t>AVESTA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HYPERLINK("https://klasma.github.io/Logging_2084/artfynd/A 12997-2022 artfynd.xlsx", "A 12997-2022")</f>
        <v/>
      </c>
      <c r="T21">
        <f>HYPERLINK("https://klasma.github.io/Logging_2084/kartor/A 12997-2022 karta.png", "A 12997-2022")</f>
        <v/>
      </c>
      <c r="V21">
        <f>HYPERLINK("https://klasma.github.io/Logging_2084/klagomål/A 12997-2022 FSC-klagomål.docx", "A 12997-2022")</f>
        <v/>
      </c>
      <c r="W21">
        <f>HYPERLINK("https://klasma.github.io/Logging_2084/klagomålsmail/A 12997-2022 FSC-klagomål mail.docx", "A 12997-2022")</f>
        <v/>
      </c>
      <c r="X21">
        <f>HYPERLINK("https://klasma.github.io/Logging_2084/tillsyn/A 12997-2022 tillsynsbegäran.docx", "A 12997-2022")</f>
        <v/>
      </c>
      <c r="Y21">
        <f>HYPERLINK("https://klasma.github.io/Logging_2084/tillsynsmail/A 12997-2022 tillsynsbegäran mail.docx", "A 12997-2022")</f>
        <v/>
      </c>
      <c r="Z21">
        <f>HYPERLINK("https://klasma.github.io/Logging_2084/fåglar/A 12997-2022 prioriterade fågelarter.docx", "A 12997-2022")</f>
        <v/>
      </c>
    </row>
    <row r="22" ht="15" customHeight="1">
      <c r="A22" t="inlineStr">
        <is>
          <t>A 41888-2023</t>
        </is>
      </c>
      <c r="B22" s="1" t="n">
        <v>45176</v>
      </c>
      <c r="C22" s="1" t="n">
        <v>45474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41888-2023 artfynd.xlsx", "A 41888-2023")</f>
        <v/>
      </c>
      <c r="T22">
        <f>HYPERLINK("https://klasma.github.io/Logging_2084/kartor/A 41888-2023 karta.png", "A 41888-2023")</f>
        <v/>
      </c>
      <c r="V22">
        <f>HYPERLINK("https://klasma.github.io/Logging_2084/klagomål/A 41888-2023 FSC-klagomål.docx", "A 41888-2023")</f>
        <v/>
      </c>
      <c r="W22">
        <f>HYPERLINK("https://klasma.github.io/Logging_2084/klagomålsmail/A 41888-2023 FSC-klagomål mail.docx", "A 41888-2023")</f>
        <v/>
      </c>
      <c r="X22">
        <f>HYPERLINK("https://klasma.github.io/Logging_2084/tillsyn/A 41888-2023 tillsynsbegäran.docx", "A 41888-2023")</f>
        <v/>
      </c>
      <c r="Y22">
        <f>HYPERLINK("https://klasma.github.io/Logging_2084/tillsynsmail/A 41888-2023 tillsynsbegäran mail.docx", "A 41888-2023")</f>
        <v/>
      </c>
    </row>
    <row r="23" ht="15" customHeight="1">
      <c r="A23" t="inlineStr">
        <is>
          <t>A 43454-2023</t>
        </is>
      </c>
      <c r="B23" s="1" t="n">
        <v>45184</v>
      </c>
      <c r="C23" s="1" t="n">
        <v>45474</v>
      </c>
      <c r="D23" t="inlineStr">
        <is>
          <t>DALARNAS LÄN</t>
        </is>
      </c>
      <c r="E23" t="inlineStr">
        <is>
          <t>AVESTA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43454-2023 artfynd.xlsx", "A 43454-2023")</f>
        <v/>
      </c>
      <c r="T23">
        <f>HYPERLINK("https://klasma.github.io/Logging_2084/kartor/A 43454-2023 karta.png", "A 43454-2023")</f>
        <v/>
      </c>
      <c r="V23">
        <f>HYPERLINK("https://klasma.github.io/Logging_2084/klagomål/A 43454-2023 FSC-klagomål.docx", "A 43454-2023")</f>
        <v/>
      </c>
      <c r="W23">
        <f>HYPERLINK("https://klasma.github.io/Logging_2084/klagomålsmail/A 43454-2023 FSC-klagomål mail.docx", "A 43454-2023")</f>
        <v/>
      </c>
      <c r="X23">
        <f>HYPERLINK("https://klasma.github.io/Logging_2084/tillsyn/A 43454-2023 tillsynsbegäran.docx", "A 43454-2023")</f>
        <v/>
      </c>
      <c r="Y23">
        <f>HYPERLINK("https://klasma.github.io/Logging_2084/tillsynsmail/A 43454-2023 tillsynsbegäran mail.docx", "A 43454-2023")</f>
        <v/>
      </c>
      <c r="Z23">
        <f>HYPERLINK("https://klasma.github.io/Logging_2084/fåglar/A 43454-2023 prioriterade fågelarter.docx", "A 43454-2023")</f>
        <v/>
      </c>
    </row>
    <row r="24" ht="15" customHeight="1">
      <c r="A24" t="inlineStr">
        <is>
          <t>A 43773-2023</t>
        </is>
      </c>
      <c r="B24" s="1" t="n">
        <v>45187</v>
      </c>
      <c r="C24" s="1" t="n">
        <v>45474</v>
      </c>
      <c r="D24" t="inlineStr">
        <is>
          <t>DALARNAS LÄN</t>
        </is>
      </c>
      <c r="E24" t="inlineStr">
        <is>
          <t>AVESTA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43773-2023 artfynd.xlsx", "A 43773-2023")</f>
        <v/>
      </c>
      <c r="T24">
        <f>HYPERLINK("https://klasma.github.io/Logging_2084/kartor/A 43773-2023 karta.png", "A 43773-2023")</f>
        <v/>
      </c>
      <c r="U24">
        <f>HYPERLINK("https://klasma.github.io/Logging_2084/knärot/A 43773-2023 karta knärot.png", "A 43773-2023")</f>
        <v/>
      </c>
      <c r="V24">
        <f>HYPERLINK("https://klasma.github.io/Logging_2084/klagomål/A 43773-2023 FSC-klagomål.docx", "A 43773-2023")</f>
        <v/>
      </c>
      <c r="W24">
        <f>HYPERLINK("https://klasma.github.io/Logging_2084/klagomålsmail/A 43773-2023 FSC-klagomål mail.docx", "A 43773-2023")</f>
        <v/>
      </c>
      <c r="X24">
        <f>HYPERLINK("https://klasma.github.io/Logging_2084/tillsyn/A 43773-2023 tillsynsbegäran.docx", "A 43773-2023")</f>
        <v/>
      </c>
      <c r="Y24">
        <f>HYPERLINK("https://klasma.github.io/Logging_2084/tillsynsmail/A 43773-2023 tillsynsbegäran mail.docx", "A 43773-2023")</f>
        <v/>
      </c>
    </row>
    <row r="25" ht="15" customHeight="1">
      <c r="A25" t="inlineStr">
        <is>
          <t>A 56085-2023</t>
        </is>
      </c>
      <c r="B25" s="1" t="n">
        <v>45240</v>
      </c>
      <c r="C25" s="1" t="n">
        <v>45474</v>
      </c>
      <c r="D25" t="inlineStr">
        <is>
          <t>DALARNAS LÄN</t>
        </is>
      </c>
      <c r="E25" t="inlineStr">
        <is>
          <t>AVESTA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Rostfläck</t>
        </is>
      </c>
      <c r="S25">
        <f>HYPERLINK("https://klasma.github.io/Logging_2084/artfynd/A 56085-2023 artfynd.xlsx", "A 56085-2023")</f>
        <v/>
      </c>
      <c r="T25">
        <f>HYPERLINK("https://klasma.github.io/Logging_2084/kartor/A 56085-2023 karta.png", "A 56085-2023")</f>
        <v/>
      </c>
      <c r="V25">
        <f>HYPERLINK("https://klasma.github.io/Logging_2084/klagomål/A 56085-2023 FSC-klagomål.docx", "A 56085-2023")</f>
        <v/>
      </c>
      <c r="W25">
        <f>HYPERLINK("https://klasma.github.io/Logging_2084/klagomålsmail/A 56085-2023 FSC-klagomål mail.docx", "A 56085-2023")</f>
        <v/>
      </c>
      <c r="X25">
        <f>HYPERLINK("https://klasma.github.io/Logging_2084/tillsyn/A 56085-2023 tillsynsbegäran.docx", "A 56085-2023")</f>
        <v/>
      </c>
      <c r="Y25">
        <f>HYPERLINK("https://klasma.github.io/Logging_2084/tillsynsmail/A 56085-2023 tillsynsbegäran mail.docx", "A 56085-2023")</f>
        <v/>
      </c>
    </row>
    <row r="26" ht="15" customHeight="1">
      <c r="A26" t="inlineStr">
        <is>
          <t>A 61850-2023</t>
        </is>
      </c>
      <c r="B26" s="1" t="n">
        <v>45266</v>
      </c>
      <c r="C26" s="1" t="n">
        <v>45474</v>
      </c>
      <c r="D26" t="inlineStr">
        <is>
          <t>DALARNAS LÄN</t>
        </is>
      </c>
      <c r="E26" t="inlineStr">
        <is>
          <t>AVESTA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61850-2023 artfynd.xlsx", "A 61850-2023")</f>
        <v/>
      </c>
      <c r="T26">
        <f>HYPERLINK("https://klasma.github.io/Logging_2084/kartor/A 61850-2023 karta.png", "A 61850-2023")</f>
        <v/>
      </c>
      <c r="U26">
        <f>HYPERLINK("https://klasma.github.io/Logging_2084/knärot/A 61850-2023 karta knärot.png", "A 61850-2023")</f>
        <v/>
      </c>
      <c r="V26">
        <f>HYPERLINK("https://klasma.github.io/Logging_2084/klagomål/A 61850-2023 FSC-klagomål.docx", "A 61850-2023")</f>
        <v/>
      </c>
      <c r="W26">
        <f>HYPERLINK("https://klasma.github.io/Logging_2084/klagomålsmail/A 61850-2023 FSC-klagomål mail.docx", "A 61850-2023")</f>
        <v/>
      </c>
      <c r="X26">
        <f>HYPERLINK("https://klasma.github.io/Logging_2084/tillsyn/A 61850-2023 tillsynsbegäran.docx", "A 61850-2023")</f>
        <v/>
      </c>
      <c r="Y26">
        <f>HYPERLINK("https://klasma.github.io/Logging_2084/tillsynsmail/A 61850-2023 tillsynsbegäran mail.docx", "A 61850-2023")</f>
        <v/>
      </c>
    </row>
    <row r="27" ht="15" customHeight="1">
      <c r="A27" t="inlineStr">
        <is>
          <t>A 5299-2024</t>
        </is>
      </c>
      <c r="B27" s="1" t="n">
        <v>45331</v>
      </c>
      <c r="C27" s="1" t="n">
        <v>45474</v>
      </c>
      <c r="D27" t="inlineStr">
        <is>
          <t>DALARNAS LÄN</t>
        </is>
      </c>
      <c r="E27" t="inlineStr">
        <is>
          <t>AVESTA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HYPERLINK("https://klasma.github.io/Logging_2084/artfynd/A 5299-2024 artfynd.xlsx", "A 5299-2024")</f>
        <v/>
      </c>
      <c r="T27">
        <f>HYPERLINK("https://klasma.github.io/Logging_2084/kartor/A 5299-2024 karta.png", "A 5299-2024")</f>
        <v/>
      </c>
      <c r="V27">
        <f>HYPERLINK("https://klasma.github.io/Logging_2084/klagomål/A 5299-2024 FSC-klagomål.docx", "A 5299-2024")</f>
        <v/>
      </c>
      <c r="W27">
        <f>HYPERLINK("https://klasma.github.io/Logging_2084/klagomålsmail/A 5299-2024 FSC-klagomål mail.docx", "A 5299-2024")</f>
        <v/>
      </c>
      <c r="X27">
        <f>HYPERLINK("https://klasma.github.io/Logging_2084/tillsyn/A 5299-2024 tillsynsbegäran.docx", "A 5299-2024")</f>
        <v/>
      </c>
      <c r="Y27">
        <f>HYPERLINK("https://klasma.github.io/Logging_2084/tillsynsmail/A 5299-2024 tillsynsbegäran mail.docx", "A 5299-2024")</f>
        <v/>
      </c>
    </row>
    <row r="28" ht="15" customHeight="1">
      <c r="A28" t="inlineStr">
        <is>
          <t>A 10943-2024</t>
        </is>
      </c>
      <c r="B28" s="1" t="n">
        <v>45370</v>
      </c>
      <c r="C28" s="1" t="n">
        <v>45474</v>
      </c>
      <c r="D28" t="inlineStr">
        <is>
          <t>DALARNAS LÄN</t>
        </is>
      </c>
      <c r="E28" t="inlineStr">
        <is>
          <t>AVESTA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10943-2024 artfynd.xlsx", "A 10943-2024")</f>
        <v/>
      </c>
      <c r="T28">
        <f>HYPERLINK("https://klasma.github.io/Logging_2084/kartor/A 10943-2024 karta.png", "A 10943-2024")</f>
        <v/>
      </c>
      <c r="V28">
        <f>HYPERLINK("https://klasma.github.io/Logging_2084/klagomål/A 10943-2024 FSC-klagomål.docx", "A 10943-2024")</f>
        <v/>
      </c>
      <c r="W28">
        <f>HYPERLINK("https://klasma.github.io/Logging_2084/klagomålsmail/A 10943-2024 FSC-klagomål mail.docx", "A 10943-2024")</f>
        <v/>
      </c>
      <c r="X28">
        <f>HYPERLINK("https://klasma.github.io/Logging_2084/tillsyn/A 10943-2024 tillsynsbegäran.docx", "A 10943-2024")</f>
        <v/>
      </c>
      <c r="Y28">
        <f>HYPERLINK("https://klasma.github.io/Logging_2084/tillsynsmail/A 10943-2024 tillsynsbegäran mail.docx", "A 10943-2024")</f>
        <v/>
      </c>
      <c r="Z28">
        <f>HYPERLINK("https://klasma.github.io/Logging_2084/fåglar/A 10943-2024 prioriterade fågelarter.docx", "A 10943-2024")</f>
        <v/>
      </c>
    </row>
    <row r="29" ht="15" customHeight="1">
      <c r="A29" t="inlineStr">
        <is>
          <t>A 20084-2024</t>
        </is>
      </c>
      <c r="B29" s="1" t="n">
        <v>45434</v>
      </c>
      <c r="C29" s="1" t="n">
        <v>45474</v>
      </c>
      <c r="D29" t="inlineStr">
        <is>
          <t>DALARNAS LÄN</t>
        </is>
      </c>
      <c r="E29" t="inlineStr">
        <is>
          <t>AVESTA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HYPERLINK("https://klasma.github.io/Logging_2084/artfynd/A 20084-2024 artfynd.xlsx", "A 20084-2024")</f>
        <v/>
      </c>
      <c r="T29">
        <f>HYPERLINK("https://klasma.github.io/Logging_2084/kartor/A 20084-2024 karta.png", "A 20084-2024")</f>
        <v/>
      </c>
      <c r="V29">
        <f>HYPERLINK("https://klasma.github.io/Logging_2084/klagomål/A 20084-2024 FSC-klagomål.docx", "A 20084-2024")</f>
        <v/>
      </c>
      <c r="W29">
        <f>HYPERLINK("https://klasma.github.io/Logging_2084/klagomålsmail/A 20084-2024 FSC-klagomål mail.docx", "A 20084-2024")</f>
        <v/>
      </c>
      <c r="X29">
        <f>HYPERLINK("https://klasma.github.io/Logging_2084/tillsyn/A 20084-2024 tillsynsbegäran.docx", "A 20084-2024")</f>
        <v/>
      </c>
      <c r="Y29">
        <f>HYPERLINK("https://klasma.github.io/Logging_2084/tillsynsmail/A 20084-2024 tillsynsbegäran mail.docx", "A 20084-2024")</f>
        <v/>
      </c>
    </row>
    <row r="30" ht="15" customHeight="1">
      <c r="A30" t="inlineStr">
        <is>
          <t>A 18152-2019</t>
        </is>
      </c>
      <c r="B30" s="1" t="n">
        <v>43558</v>
      </c>
      <c r="C30" s="1" t="n">
        <v>45474</v>
      </c>
      <c r="D30" t="inlineStr">
        <is>
          <t>DALARNAS LÄN</t>
        </is>
      </c>
      <c r="E30" t="inlineStr">
        <is>
          <t>AVESTA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18586-2019</t>
        </is>
      </c>
      <c r="B31" s="1" t="n">
        <v>43560</v>
      </c>
      <c r="C31" s="1" t="n">
        <v>45474</v>
      </c>
      <c r="D31" t="inlineStr">
        <is>
          <t>DALARNAS LÄN</t>
        </is>
      </c>
      <c r="E31" t="inlineStr">
        <is>
          <t>AVESTA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20667-2019</t>
        </is>
      </c>
      <c r="B32" s="1" t="n">
        <v>43573</v>
      </c>
      <c r="C32" s="1" t="n">
        <v>45474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21273-2019</t>
        </is>
      </c>
      <c r="B33" s="1" t="n">
        <v>43579</v>
      </c>
      <c r="C33" s="1" t="n">
        <v>45474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21495-2019</t>
        </is>
      </c>
      <c r="B34" s="1" t="n">
        <v>43580</v>
      </c>
      <c r="C34" s="1" t="n">
        <v>45474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25193-2019</t>
        </is>
      </c>
      <c r="B35" s="1" t="n">
        <v>43605</v>
      </c>
      <c r="C35" s="1" t="n">
        <v>45474</v>
      </c>
      <c r="D35" t="inlineStr">
        <is>
          <t>DALARNAS LÄN</t>
        </is>
      </c>
      <c r="E35" t="inlineStr">
        <is>
          <t>AVESTA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27312-2019</t>
        </is>
      </c>
      <c r="B36" s="1" t="n">
        <v>43616</v>
      </c>
      <c r="C36" s="1" t="n">
        <v>45474</v>
      </c>
      <c r="D36" t="inlineStr">
        <is>
          <t>DALARNAS LÄN</t>
        </is>
      </c>
      <c r="E36" t="inlineStr">
        <is>
          <t>AVESTA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28514-2019</t>
        </is>
      </c>
      <c r="B37" s="1" t="n">
        <v>43626</v>
      </c>
      <c r="C37" s="1" t="n">
        <v>45474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29061-2019</t>
        </is>
      </c>
      <c r="B38" s="1" t="n">
        <v>43628</v>
      </c>
      <c r="C38" s="1" t="n">
        <v>45474</v>
      </c>
      <c r="D38" t="inlineStr">
        <is>
          <t>DALARNAS LÄN</t>
        </is>
      </c>
      <c r="E38" t="inlineStr">
        <is>
          <t>AVESTA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29868-2019</t>
        </is>
      </c>
      <c r="B39" s="1" t="n">
        <v>43633</v>
      </c>
      <c r="C39" s="1" t="n">
        <v>45474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31035-2019</t>
        </is>
      </c>
      <c r="B40" s="1" t="n">
        <v>43640</v>
      </c>
      <c r="C40" s="1" t="n">
        <v>45474</v>
      </c>
      <c r="D40" t="inlineStr">
        <is>
          <t>DALARNAS LÄN</t>
        </is>
      </c>
      <c r="E40" t="inlineStr">
        <is>
          <t>AVESTA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31932-2019</t>
        </is>
      </c>
      <c r="B41" s="1" t="n">
        <v>43642</v>
      </c>
      <c r="C41" s="1" t="n">
        <v>45474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32441-2019</t>
        </is>
      </c>
      <c r="B42" s="1" t="n">
        <v>43644</v>
      </c>
      <c r="C42" s="1" t="n">
        <v>45474</v>
      </c>
      <c r="D42" t="inlineStr">
        <is>
          <t>DALARNAS LÄN</t>
        </is>
      </c>
      <c r="E42" t="inlineStr">
        <is>
          <t>AVESTA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35578-2019</t>
        </is>
      </c>
      <c r="B43" s="1" t="n">
        <v>43664</v>
      </c>
      <c r="C43" s="1" t="n">
        <v>45474</v>
      </c>
      <c r="D43" t="inlineStr">
        <is>
          <t>DALARNAS LÄN</t>
        </is>
      </c>
      <c r="E43" t="inlineStr">
        <is>
          <t>AVESTA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36010-2019</t>
        </is>
      </c>
      <c r="B44" s="1" t="n">
        <v>43668</v>
      </c>
      <c r="C44" s="1" t="n">
        <v>45474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36025-2019</t>
        </is>
      </c>
      <c r="B45" s="1" t="n">
        <v>43668</v>
      </c>
      <c r="C45" s="1" t="n">
        <v>45474</v>
      </c>
      <c r="D45" t="inlineStr">
        <is>
          <t>DALARNAS LÄN</t>
        </is>
      </c>
      <c r="E45" t="inlineStr">
        <is>
          <t>AVESTA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36823-2019</t>
        </is>
      </c>
      <c r="B46" s="1" t="n">
        <v>43674</v>
      </c>
      <c r="C46" s="1" t="n">
        <v>45474</v>
      </c>
      <c r="D46" t="inlineStr">
        <is>
          <t>DALARNAS LÄN</t>
        </is>
      </c>
      <c r="E46" t="inlineStr">
        <is>
          <t>AVESTA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36824-2019</t>
        </is>
      </c>
      <c r="B47" s="1" t="n">
        <v>43674</v>
      </c>
      <c r="C47" s="1" t="n">
        <v>45474</v>
      </c>
      <c r="D47" t="inlineStr">
        <is>
          <t>DALARNAS LÄN</t>
        </is>
      </c>
      <c r="E47" t="inlineStr">
        <is>
          <t>AVESTA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38526-2019</t>
        </is>
      </c>
      <c r="B48" s="1" t="n">
        <v>43685</v>
      </c>
      <c r="C48" s="1" t="n">
        <v>45474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40100-2019</t>
        </is>
      </c>
      <c r="B49" s="1" t="n">
        <v>43693</v>
      </c>
      <c r="C49" s="1" t="n">
        <v>45474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40066-2019</t>
        </is>
      </c>
      <c r="B50" s="1" t="n">
        <v>43693</v>
      </c>
      <c r="C50" s="1" t="n">
        <v>45474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40068-2019</t>
        </is>
      </c>
      <c r="B51" s="1" t="n">
        <v>43693</v>
      </c>
      <c r="C51" s="1" t="n">
        <v>45474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40088-2019</t>
        </is>
      </c>
      <c r="B52" s="1" t="n">
        <v>43693</v>
      </c>
      <c r="C52" s="1" t="n">
        <v>45474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40058-2019</t>
        </is>
      </c>
      <c r="B53" s="1" t="n">
        <v>43693</v>
      </c>
      <c r="C53" s="1" t="n">
        <v>45474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41062-2019</t>
        </is>
      </c>
      <c r="B54" s="1" t="n">
        <v>43698</v>
      </c>
      <c r="C54" s="1" t="n">
        <v>45474</v>
      </c>
      <c r="D54" t="inlineStr">
        <is>
          <t>DALARNAS LÄN</t>
        </is>
      </c>
      <c r="E54" t="inlineStr">
        <is>
          <t>AVESTA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41335-2019</t>
        </is>
      </c>
      <c r="B55" s="1" t="n">
        <v>43698</v>
      </c>
      <c r="C55" s="1" t="n">
        <v>45474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41066-2019</t>
        </is>
      </c>
      <c r="B56" s="1" t="n">
        <v>43698</v>
      </c>
      <c r="C56" s="1" t="n">
        <v>45474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43523-2019</t>
        </is>
      </c>
      <c r="B57" s="1" t="n">
        <v>43706</v>
      </c>
      <c r="C57" s="1" t="n">
        <v>45474</v>
      </c>
      <c r="D57" t="inlineStr">
        <is>
          <t>DALARNAS LÄN</t>
        </is>
      </c>
      <c r="E57" t="inlineStr">
        <is>
          <t>AVESTA</t>
        </is>
      </c>
      <c r="F57" t="inlineStr">
        <is>
          <t>Kyrkan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44663-2019</t>
        </is>
      </c>
      <c r="B58" s="1" t="n">
        <v>43712</v>
      </c>
      <c r="C58" s="1" t="n">
        <v>45474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45827-2019</t>
        </is>
      </c>
      <c r="B59" s="1" t="n">
        <v>43717</v>
      </c>
      <c r="C59" s="1" t="n">
        <v>45474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49272-2019</t>
        </is>
      </c>
      <c r="B60" s="1" t="n">
        <v>43731</v>
      </c>
      <c r="C60" s="1" t="n">
        <v>45474</v>
      </c>
      <c r="D60" t="inlineStr">
        <is>
          <t>DALARNAS LÄN</t>
        </is>
      </c>
      <c r="E60" t="inlineStr">
        <is>
          <t>AVESTA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49620-2019</t>
        </is>
      </c>
      <c r="B61" s="1" t="n">
        <v>43732</v>
      </c>
      <c r="C61" s="1" t="n">
        <v>45474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53459-2019</t>
        </is>
      </c>
      <c r="B62" s="1" t="n">
        <v>43748</v>
      </c>
      <c r="C62" s="1" t="n">
        <v>45474</v>
      </c>
      <c r="D62" t="inlineStr">
        <is>
          <t>DALARNAS LÄN</t>
        </is>
      </c>
      <c r="E62" t="inlineStr">
        <is>
          <t>AVESTA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53977-2019</t>
        </is>
      </c>
      <c r="B63" s="1" t="n">
        <v>43752</v>
      </c>
      <c r="C63" s="1" t="n">
        <v>45474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60217-2019</t>
        </is>
      </c>
      <c r="B64" s="1" t="n">
        <v>43780</v>
      </c>
      <c r="C64" s="1" t="n">
        <v>45474</v>
      </c>
      <c r="D64" t="inlineStr">
        <is>
          <t>DALARNAS LÄN</t>
        </is>
      </c>
      <c r="E64" t="inlineStr">
        <is>
          <t>AVESTA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60242-2019</t>
        </is>
      </c>
      <c r="B65" s="1" t="n">
        <v>43780</v>
      </c>
      <c r="C65" s="1" t="n">
        <v>45474</v>
      </c>
      <c r="D65" t="inlineStr">
        <is>
          <t>DALARNAS LÄN</t>
        </is>
      </c>
      <c r="E65" t="inlineStr">
        <is>
          <t>AVESTA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60201-2019</t>
        </is>
      </c>
      <c r="B66" s="1" t="n">
        <v>43780</v>
      </c>
      <c r="C66" s="1" t="n">
        <v>45474</v>
      </c>
      <c r="D66" t="inlineStr">
        <is>
          <t>DALARNAS LÄN</t>
        </is>
      </c>
      <c r="E66" t="inlineStr">
        <is>
          <t>AVESTA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60414-2019</t>
        </is>
      </c>
      <c r="B67" s="1" t="n">
        <v>43780</v>
      </c>
      <c r="C67" s="1" t="n">
        <v>45474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60280-2019</t>
        </is>
      </c>
      <c r="B68" s="1" t="n">
        <v>43780</v>
      </c>
      <c r="C68" s="1" t="n">
        <v>45474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60419-2019</t>
        </is>
      </c>
      <c r="B69" s="1" t="n">
        <v>43780</v>
      </c>
      <c r="C69" s="1" t="n">
        <v>45474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60304-2019</t>
        </is>
      </c>
      <c r="B70" s="1" t="n">
        <v>43780</v>
      </c>
      <c r="C70" s="1" t="n">
        <v>45474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62120-2019</t>
        </is>
      </c>
      <c r="B71" s="1" t="n">
        <v>43782</v>
      </c>
      <c r="C71" s="1" t="n">
        <v>45474</v>
      </c>
      <c r="D71" t="inlineStr">
        <is>
          <t>DALARNAS LÄN</t>
        </is>
      </c>
      <c r="E71" t="inlineStr">
        <is>
          <t>AVESTA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62818-2019</t>
        </is>
      </c>
      <c r="B72" s="1" t="n">
        <v>43790</v>
      </c>
      <c r="C72" s="1" t="n">
        <v>45474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65871-2019</t>
        </is>
      </c>
      <c r="B73" s="1" t="n">
        <v>43805</v>
      </c>
      <c r="C73" s="1" t="n">
        <v>45474</v>
      </c>
      <c r="D73" t="inlineStr">
        <is>
          <t>DALARNAS LÄN</t>
        </is>
      </c>
      <c r="E73" t="inlineStr">
        <is>
          <t>AVESTA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66721-2019</t>
        </is>
      </c>
      <c r="B74" s="1" t="n">
        <v>43810</v>
      </c>
      <c r="C74" s="1" t="n">
        <v>45474</v>
      </c>
      <c r="D74" t="inlineStr">
        <is>
          <t>DALARNAS LÄN</t>
        </is>
      </c>
      <c r="E74" t="inlineStr">
        <is>
          <t>AVESTA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2746-2020</t>
        </is>
      </c>
      <c r="B75" s="1" t="n">
        <v>43843</v>
      </c>
      <c r="C75" s="1" t="n">
        <v>45474</v>
      </c>
      <c r="D75" t="inlineStr">
        <is>
          <t>DALARNAS LÄN</t>
        </is>
      </c>
      <c r="E75" t="inlineStr">
        <is>
          <t>AVESTA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4632-2020</t>
        </is>
      </c>
      <c r="B76" s="1" t="n">
        <v>43858</v>
      </c>
      <c r="C76" s="1" t="n">
        <v>45474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10881-2020</t>
        </is>
      </c>
      <c r="B77" s="1" t="n">
        <v>43885</v>
      </c>
      <c r="C77" s="1" t="n">
        <v>45474</v>
      </c>
      <c r="D77" t="inlineStr">
        <is>
          <t>DALARNAS LÄN</t>
        </is>
      </c>
      <c r="E77" t="inlineStr">
        <is>
          <t>AVESTA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11310-2020</t>
        </is>
      </c>
      <c r="B78" s="1" t="n">
        <v>43886</v>
      </c>
      <c r="C78" s="1" t="n">
        <v>45474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11721-2020</t>
        </is>
      </c>
      <c r="B79" s="1" t="n">
        <v>43894</v>
      </c>
      <c r="C79" s="1" t="n">
        <v>45474</v>
      </c>
      <c r="D79" t="inlineStr">
        <is>
          <t>DALARNAS LÄN</t>
        </is>
      </c>
      <c r="E79" t="inlineStr">
        <is>
          <t>AVESTA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11780-2020</t>
        </is>
      </c>
      <c r="B80" s="1" t="n">
        <v>43894</v>
      </c>
      <c r="C80" s="1" t="n">
        <v>45474</v>
      </c>
      <c r="D80" t="inlineStr">
        <is>
          <t>DALARNAS LÄN</t>
        </is>
      </c>
      <c r="E80" t="inlineStr">
        <is>
          <t>AVESTA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13840-2020</t>
        </is>
      </c>
      <c r="B81" s="1" t="n">
        <v>43906</v>
      </c>
      <c r="C81" s="1" t="n">
        <v>45474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17268-2020</t>
        </is>
      </c>
      <c r="B82" s="1" t="n">
        <v>43922</v>
      </c>
      <c r="C82" s="1" t="n">
        <v>45474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18541-2020</t>
        </is>
      </c>
      <c r="B83" s="1" t="n">
        <v>43929</v>
      </c>
      <c r="C83" s="1" t="n">
        <v>45474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18686-2020</t>
        </is>
      </c>
      <c r="B84" s="1" t="n">
        <v>43930</v>
      </c>
      <c r="C84" s="1" t="n">
        <v>45474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20955-2020</t>
        </is>
      </c>
      <c r="B85" s="1" t="n">
        <v>43950</v>
      </c>
      <c r="C85" s="1" t="n">
        <v>45474</v>
      </c>
      <c r="D85" t="inlineStr">
        <is>
          <t>DALARNAS LÄN</t>
        </is>
      </c>
      <c r="E85" t="inlineStr">
        <is>
          <t>AVESTA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21454-2020</t>
        </is>
      </c>
      <c r="B86" s="1" t="n">
        <v>43956</v>
      </c>
      <c r="C86" s="1" t="n">
        <v>45474</v>
      </c>
      <c r="D86" t="inlineStr">
        <is>
          <t>DALARNAS LÄN</t>
        </is>
      </c>
      <c r="E86" t="inlineStr">
        <is>
          <t>AVESTA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21455-2020</t>
        </is>
      </c>
      <c r="B87" s="1" t="n">
        <v>43956</v>
      </c>
      <c r="C87" s="1" t="n">
        <v>45474</v>
      </c>
      <c r="D87" t="inlineStr">
        <is>
          <t>DALARNAS LÄN</t>
        </is>
      </c>
      <c r="E87" t="inlineStr">
        <is>
          <t>AVESTA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21654-2020</t>
        </is>
      </c>
      <c r="B88" s="1" t="n">
        <v>43957</v>
      </c>
      <c r="C88" s="1" t="n">
        <v>45474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24087-2020</t>
        </is>
      </c>
      <c r="B89" s="1" t="n">
        <v>43972</v>
      </c>
      <c r="C89" s="1" t="n">
        <v>45474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24273-2020</t>
        </is>
      </c>
      <c r="B90" s="1" t="n">
        <v>43976</v>
      </c>
      <c r="C90" s="1" t="n">
        <v>45474</v>
      </c>
      <c r="D90" t="inlineStr">
        <is>
          <t>DALARNAS LÄN</t>
        </is>
      </c>
      <c r="E90" t="inlineStr">
        <is>
          <t>AVESTA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24556-2020</t>
        </is>
      </c>
      <c r="B91" s="1" t="n">
        <v>43977</v>
      </c>
      <c r="C91" s="1" t="n">
        <v>45474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24697-2020</t>
        </is>
      </c>
      <c r="B92" s="1" t="n">
        <v>43978</v>
      </c>
      <c r="C92" s="1" t="n">
        <v>45474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25134-2020</t>
        </is>
      </c>
      <c r="B93" s="1" t="n">
        <v>43980</v>
      </c>
      <c r="C93" s="1" t="n">
        <v>45474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26444-2020</t>
        </is>
      </c>
      <c r="B94" s="1" t="n">
        <v>43987</v>
      </c>
      <c r="C94" s="1" t="n">
        <v>45474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26443-2020</t>
        </is>
      </c>
      <c r="B95" s="1" t="n">
        <v>43987</v>
      </c>
      <c r="C95" s="1" t="n">
        <v>45474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28661-2020</t>
        </is>
      </c>
      <c r="B96" s="1" t="n">
        <v>43998</v>
      </c>
      <c r="C96" s="1" t="n">
        <v>45474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33495-2020</t>
        </is>
      </c>
      <c r="B97" s="1" t="n">
        <v>44025</v>
      </c>
      <c r="C97" s="1" t="n">
        <v>45474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35075-2020</t>
        </is>
      </c>
      <c r="B98" s="1" t="n">
        <v>44039</v>
      </c>
      <c r="C98" s="1" t="n">
        <v>45474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36027-2020</t>
        </is>
      </c>
      <c r="B99" s="1" t="n">
        <v>44047</v>
      </c>
      <c r="C99" s="1" t="n">
        <v>45474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36201-2020</t>
        </is>
      </c>
      <c r="B100" s="1" t="n">
        <v>44048</v>
      </c>
      <c r="C100" s="1" t="n">
        <v>45474</v>
      </c>
      <c r="D100" t="inlineStr">
        <is>
          <t>DALARNAS LÄN</t>
        </is>
      </c>
      <c r="E100" t="inlineStr">
        <is>
          <t>AVESTA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36948-2020</t>
        </is>
      </c>
      <c r="B101" s="1" t="n">
        <v>44053</v>
      </c>
      <c r="C101" s="1" t="n">
        <v>45474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38121-2020</t>
        </is>
      </c>
      <c r="B102" s="1" t="n">
        <v>44059</v>
      </c>
      <c r="C102" s="1" t="n">
        <v>45474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39495-2020</t>
        </is>
      </c>
      <c r="B103" s="1" t="n">
        <v>44064</v>
      </c>
      <c r="C103" s="1" t="n">
        <v>45474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42029-2020</t>
        </is>
      </c>
      <c r="B104" s="1" t="n">
        <v>44075</v>
      </c>
      <c r="C104" s="1" t="n">
        <v>45474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43056-2020</t>
        </is>
      </c>
      <c r="B105" s="1" t="n">
        <v>44078</v>
      </c>
      <c r="C105" s="1" t="n">
        <v>45474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43799-2020</t>
        </is>
      </c>
      <c r="B106" s="1" t="n">
        <v>44082</v>
      </c>
      <c r="C106" s="1" t="n">
        <v>45474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43488-2020</t>
        </is>
      </c>
      <c r="B107" s="1" t="n">
        <v>44082</v>
      </c>
      <c r="C107" s="1" t="n">
        <v>45474</v>
      </c>
      <c r="D107" t="inlineStr">
        <is>
          <t>DALARNAS LÄN</t>
        </is>
      </c>
      <c r="E107" t="inlineStr">
        <is>
          <t>AVESTA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HYPERLINK("https://klasma.github.io/Logging_2084/knärot/A 43488-2020 karta knärot.png", "A 43488-2020")</f>
        <v/>
      </c>
      <c r="V107">
        <f>HYPERLINK("https://klasma.github.io/Logging_2084/klagomål/A 43488-2020 FSC-klagomål.docx", "A 43488-2020")</f>
        <v/>
      </c>
      <c r="W107">
        <f>HYPERLINK("https://klasma.github.io/Logging_2084/klagomålsmail/A 43488-2020 FSC-klagomål mail.docx", "A 43488-2020")</f>
        <v/>
      </c>
      <c r="X107">
        <f>HYPERLINK("https://klasma.github.io/Logging_2084/tillsyn/A 43488-2020 tillsynsbegäran.docx", "A 43488-2020")</f>
        <v/>
      </c>
      <c r="Y107">
        <f>HYPERLINK("https://klasma.github.io/Logging_2084/tillsynsmail/A 43488-2020 tillsynsbegäran mail.docx", "A 43488-2020")</f>
        <v/>
      </c>
    </row>
    <row r="108" ht="15" customHeight="1">
      <c r="A108" t="inlineStr">
        <is>
          <t>A 44240-2020</t>
        </is>
      </c>
      <c r="B108" s="1" t="n">
        <v>44084</v>
      </c>
      <c r="C108" s="1" t="n">
        <v>45474</v>
      </c>
      <c r="D108" t="inlineStr">
        <is>
          <t>DALARNAS LÄN</t>
        </is>
      </c>
      <c r="E108" t="inlineStr">
        <is>
          <t>AVESTA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44310-2020</t>
        </is>
      </c>
      <c r="B109" s="1" t="n">
        <v>44084</v>
      </c>
      <c r="C109" s="1" t="n">
        <v>45474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45205-2020</t>
        </is>
      </c>
      <c r="B110" s="1" t="n">
        <v>44088</v>
      </c>
      <c r="C110" s="1" t="n">
        <v>45474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47287-2020</t>
        </is>
      </c>
      <c r="B111" s="1" t="n">
        <v>44097</v>
      </c>
      <c r="C111" s="1" t="n">
        <v>45474</v>
      </c>
      <c r="D111" t="inlineStr">
        <is>
          <t>DALARNAS LÄN</t>
        </is>
      </c>
      <c r="E111" t="inlineStr">
        <is>
          <t>AVESTA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52312-2020</t>
        </is>
      </c>
      <c r="B112" s="1" t="n">
        <v>44117</v>
      </c>
      <c r="C112" s="1" t="n">
        <v>45474</v>
      </c>
      <c r="D112" t="inlineStr">
        <is>
          <t>DALARNAS LÄN</t>
        </is>
      </c>
      <c r="E112" t="inlineStr">
        <is>
          <t>AVESTA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52313-2020</t>
        </is>
      </c>
      <c r="B113" s="1" t="n">
        <v>44117</v>
      </c>
      <c r="C113" s="1" t="n">
        <v>45474</v>
      </c>
      <c r="D113" t="inlineStr">
        <is>
          <t>DALARNAS LÄN</t>
        </is>
      </c>
      <c r="E113" t="inlineStr">
        <is>
          <t>AVESTA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52373-2020</t>
        </is>
      </c>
      <c r="B114" s="1" t="n">
        <v>44118</v>
      </c>
      <c r="C114" s="1" t="n">
        <v>45474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52888-2020</t>
        </is>
      </c>
      <c r="B115" s="1" t="n">
        <v>44119</v>
      </c>
      <c r="C115" s="1" t="n">
        <v>45474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52887-2020</t>
        </is>
      </c>
      <c r="B116" s="1" t="n">
        <v>44119</v>
      </c>
      <c r="C116" s="1" t="n">
        <v>45474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59199-2020</t>
        </is>
      </c>
      <c r="B117" s="1" t="n">
        <v>44147</v>
      </c>
      <c r="C117" s="1" t="n">
        <v>45474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62147-2020</t>
        </is>
      </c>
      <c r="B118" s="1" t="n">
        <v>44159</v>
      </c>
      <c r="C118" s="1" t="n">
        <v>45474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63104-2020</t>
        </is>
      </c>
      <c r="B119" s="1" t="n">
        <v>44159</v>
      </c>
      <c r="C119" s="1" t="n">
        <v>45474</v>
      </c>
      <c r="D119" t="inlineStr">
        <is>
          <t>DALARNAS LÄN</t>
        </is>
      </c>
      <c r="E119" t="inlineStr">
        <is>
          <t>AVESTA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1864-2021</t>
        </is>
      </c>
      <c r="B120" s="1" t="n">
        <v>44210</v>
      </c>
      <c r="C120" s="1" t="n">
        <v>45474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2466-2021</t>
        </is>
      </c>
      <c r="B121" s="1" t="n">
        <v>44214</v>
      </c>
      <c r="C121" s="1" t="n">
        <v>45474</v>
      </c>
      <c r="D121" t="inlineStr">
        <is>
          <t>DALARNAS LÄN</t>
        </is>
      </c>
      <c r="E121" t="inlineStr">
        <is>
          <t>AVESTA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4275-2021</t>
        </is>
      </c>
      <c r="B122" s="1" t="n">
        <v>44223</v>
      </c>
      <c r="C122" s="1" t="n">
        <v>45474</v>
      </c>
      <c r="D122" t="inlineStr">
        <is>
          <t>DALARNAS LÄN</t>
        </is>
      </c>
      <c r="E122" t="inlineStr">
        <is>
          <t>AVESTA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5704-2021</t>
        </is>
      </c>
      <c r="B123" s="1" t="n">
        <v>44230</v>
      </c>
      <c r="C123" s="1" t="n">
        <v>45474</v>
      </c>
      <c r="D123" t="inlineStr">
        <is>
          <t>DALARNAS LÄN</t>
        </is>
      </c>
      <c r="E123" t="inlineStr">
        <is>
          <t>AVESTA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5769-2021</t>
        </is>
      </c>
      <c r="B124" s="1" t="n">
        <v>44230</v>
      </c>
      <c r="C124" s="1" t="n">
        <v>45474</v>
      </c>
      <c r="D124" t="inlineStr">
        <is>
          <t>DALARNAS LÄN</t>
        </is>
      </c>
      <c r="E124" t="inlineStr">
        <is>
          <t>AVESTA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6257-2021</t>
        </is>
      </c>
      <c r="B125" s="1" t="n">
        <v>44232</v>
      </c>
      <c r="C125" s="1" t="n">
        <v>45474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13613-2021</t>
        </is>
      </c>
      <c r="B126" s="1" t="n">
        <v>44274</v>
      </c>
      <c r="C126" s="1" t="n">
        <v>45474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13867-2021</t>
        </is>
      </c>
      <c r="B127" s="1" t="n">
        <v>44277</v>
      </c>
      <c r="C127" s="1" t="n">
        <v>45474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14252-2021</t>
        </is>
      </c>
      <c r="B128" s="1" t="n">
        <v>44278</v>
      </c>
      <c r="C128" s="1" t="n">
        <v>45474</v>
      </c>
      <c r="D128" t="inlineStr">
        <is>
          <t>DALARNAS LÄN</t>
        </is>
      </c>
      <c r="E128" t="inlineStr">
        <is>
          <t>AVESTA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15087-2021</t>
        </is>
      </c>
      <c r="B129" s="1" t="n">
        <v>44281</v>
      </c>
      <c r="C129" s="1" t="n">
        <v>45474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15088-2021</t>
        </is>
      </c>
      <c r="B130" s="1" t="n">
        <v>44281</v>
      </c>
      <c r="C130" s="1" t="n">
        <v>45474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17316-2021</t>
        </is>
      </c>
      <c r="B131" s="1" t="n">
        <v>44298</v>
      </c>
      <c r="C131" s="1" t="n">
        <v>45474</v>
      </c>
      <c r="D131" t="inlineStr">
        <is>
          <t>DALARNAS LÄN</t>
        </is>
      </c>
      <c r="E131" t="inlineStr">
        <is>
          <t>AVESTA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18291-2021</t>
        </is>
      </c>
      <c r="B132" s="1" t="n">
        <v>44305</v>
      </c>
      <c r="C132" s="1" t="n">
        <v>45474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18896-2021</t>
        </is>
      </c>
      <c r="B133" s="1" t="n">
        <v>44308</v>
      </c>
      <c r="C133" s="1" t="n">
        <v>45474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19797-2021</t>
        </is>
      </c>
      <c r="B134" s="1" t="n">
        <v>44309</v>
      </c>
      <c r="C134" s="1" t="n">
        <v>45474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19867-2021</t>
        </is>
      </c>
      <c r="B135" s="1" t="n">
        <v>44313</v>
      </c>
      <c r="C135" s="1" t="n">
        <v>45474</v>
      </c>
      <c r="D135" t="inlineStr">
        <is>
          <t>DALARNAS LÄN</t>
        </is>
      </c>
      <c r="E135" t="inlineStr">
        <is>
          <t>AVESTA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23005-2021</t>
        </is>
      </c>
      <c r="B136" s="1" t="n">
        <v>44328</v>
      </c>
      <c r="C136" s="1" t="n">
        <v>45474</v>
      </c>
      <c r="D136" t="inlineStr">
        <is>
          <t>DALARNAS LÄN</t>
        </is>
      </c>
      <c r="E136" t="inlineStr">
        <is>
          <t>AVESTA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23347-2021</t>
        </is>
      </c>
      <c r="B137" s="1" t="n">
        <v>44333</v>
      </c>
      <c r="C137" s="1" t="n">
        <v>45474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26086-2021</t>
        </is>
      </c>
      <c r="B138" s="1" t="n">
        <v>44344</v>
      </c>
      <c r="C138" s="1" t="n">
        <v>45474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26085-2021</t>
        </is>
      </c>
      <c r="B139" s="1" t="n">
        <v>44344</v>
      </c>
      <c r="C139" s="1" t="n">
        <v>45474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27221-2021</t>
        </is>
      </c>
      <c r="B140" s="1" t="n">
        <v>44350</v>
      </c>
      <c r="C140" s="1" t="n">
        <v>45474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28521-2021</t>
        </is>
      </c>
      <c r="B141" s="1" t="n">
        <v>44356</v>
      </c>
      <c r="C141" s="1" t="n">
        <v>45474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28514-2021</t>
        </is>
      </c>
      <c r="B142" s="1" t="n">
        <v>44356</v>
      </c>
      <c r="C142" s="1" t="n">
        <v>45474</v>
      </c>
      <c r="D142" t="inlineStr">
        <is>
          <t>DALARNAS LÄN</t>
        </is>
      </c>
      <c r="E142" t="inlineStr">
        <is>
          <t>AVESTA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28762-2021</t>
        </is>
      </c>
      <c r="B143" s="1" t="n">
        <v>44357</v>
      </c>
      <c r="C143" s="1" t="n">
        <v>45474</v>
      </c>
      <c r="D143" t="inlineStr">
        <is>
          <t>DALARNAS LÄN</t>
        </is>
      </c>
      <c r="E143" t="inlineStr">
        <is>
          <t>AVESTA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31226-2021</t>
        </is>
      </c>
      <c r="B144" s="1" t="n">
        <v>44368</v>
      </c>
      <c r="C144" s="1" t="n">
        <v>45474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31126-2021</t>
        </is>
      </c>
      <c r="B145" s="1" t="n">
        <v>44368</v>
      </c>
      <c r="C145" s="1" t="n">
        <v>45474</v>
      </c>
      <c r="D145" t="inlineStr">
        <is>
          <t>DALARNAS LÄN</t>
        </is>
      </c>
      <c r="E145" t="inlineStr">
        <is>
          <t>AVESTA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32254-2021</t>
        </is>
      </c>
      <c r="B146" s="1" t="n">
        <v>44371</v>
      </c>
      <c r="C146" s="1" t="n">
        <v>45474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32258-2021</t>
        </is>
      </c>
      <c r="B147" s="1" t="n">
        <v>44371</v>
      </c>
      <c r="C147" s="1" t="n">
        <v>45474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32613-2021</t>
        </is>
      </c>
      <c r="B148" s="1" t="n">
        <v>44375</v>
      </c>
      <c r="C148" s="1" t="n">
        <v>45474</v>
      </c>
      <c r="D148" t="inlineStr">
        <is>
          <t>DALARNAS LÄN</t>
        </is>
      </c>
      <c r="E148" t="inlineStr">
        <is>
          <t>AVESTA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35855-2021</t>
        </is>
      </c>
      <c r="B149" s="1" t="n">
        <v>44386</v>
      </c>
      <c r="C149" s="1" t="n">
        <v>45474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39164-2021</t>
        </is>
      </c>
      <c r="B150" s="1" t="n">
        <v>44412</v>
      </c>
      <c r="C150" s="1" t="n">
        <v>45474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42326-2021</t>
        </is>
      </c>
      <c r="B151" s="1" t="n">
        <v>44427</v>
      </c>
      <c r="C151" s="1" t="n">
        <v>45474</v>
      </c>
      <c r="D151" t="inlineStr">
        <is>
          <t>DALARNAS LÄN</t>
        </is>
      </c>
      <c r="E151" t="inlineStr">
        <is>
          <t>AVESTA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42704-2021</t>
        </is>
      </c>
      <c r="B152" s="1" t="n">
        <v>44428</v>
      </c>
      <c r="C152" s="1" t="n">
        <v>45474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42735-2021</t>
        </is>
      </c>
      <c r="B153" s="1" t="n">
        <v>44428</v>
      </c>
      <c r="C153" s="1" t="n">
        <v>45474</v>
      </c>
      <c r="D153" t="inlineStr">
        <is>
          <t>DALARNAS LÄN</t>
        </is>
      </c>
      <c r="E153" t="inlineStr">
        <is>
          <t>AVESTA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43767-2021</t>
        </is>
      </c>
      <c r="B154" s="1" t="n">
        <v>44433</v>
      </c>
      <c r="C154" s="1" t="n">
        <v>45474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44710-2021</t>
        </is>
      </c>
      <c r="B155" s="1" t="n">
        <v>44438</v>
      </c>
      <c r="C155" s="1" t="n">
        <v>45474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45604-2021</t>
        </is>
      </c>
      <c r="B156" s="1" t="n">
        <v>44440</v>
      </c>
      <c r="C156" s="1" t="n">
        <v>45474</v>
      </c>
      <c r="D156" t="inlineStr">
        <is>
          <t>DALARNAS LÄN</t>
        </is>
      </c>
      <c r="E156" t="inlineStr">
        <is>
          <t>AVESTA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45474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45474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45474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45474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45474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45474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45474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45474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45474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45474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45474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45474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45474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45474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45474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45474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45474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45474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45474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45474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45474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45474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45474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45474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45474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45474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45474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45474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45474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45474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45474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45474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45474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45474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45474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45474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45474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45474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45474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45474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45474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45474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45474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45474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45474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45474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45474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45474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45474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45474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45474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45474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45474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45474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45474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45474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45474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45474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45474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45474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45474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45474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45474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45474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45474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45474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45474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45474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45474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45474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45474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45474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45474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45474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45474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45474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45474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45474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45474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45474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45474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45474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45474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45474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45474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45474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45474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45474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45474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45474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45474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45474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45474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45474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45474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45474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45474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45474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45474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45474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45474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45474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45474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45474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45474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45474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45474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45474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45474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45474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45474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45474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45474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45474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45474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45474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45474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45474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45474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45474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45474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45474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45474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45474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45474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45474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45474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45474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45474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45474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45474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45474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45474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45474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45474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45474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45474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45474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45474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45474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45474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45474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45474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45474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45474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45474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45474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45474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45474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45474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45474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45474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45474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45474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45474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45474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45474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45474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45474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45474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45474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45474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45474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45474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45474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45474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45474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45474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45474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45474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45474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45474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45474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45474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45474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45474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45474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45474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45474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45474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45474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45474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45474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45474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45474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45474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45474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45474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45474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45474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45474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45474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45474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45474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45474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45474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45474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45474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45474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45474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45474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45474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45474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45474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45474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45474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45474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45474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45474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45474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45474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45474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45474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45474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45474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45474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45474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45474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45474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45474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45474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45474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45474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45474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45474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45474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45474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45474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45474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45474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45474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45474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45474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45474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45474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45474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45474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45474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45474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45474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45474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45474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45474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45474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45474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45474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45474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45474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45474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45474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45474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45474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45474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45474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45474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45474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45474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45474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45474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45474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45474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45474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45474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45474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45474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45474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45474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45474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45474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45474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45474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45474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45474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45474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45474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45474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45474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45474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45474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45474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45474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45474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45474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45474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45474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22234-2024</t>
        </is>
      </c>
      <c r="B442" s="1" t="n">
        <v>45446</v>
      </c>
      <c r="C442" s="1" t="n">
        <v>45474</v>
      </c>
      <c r="D442" t="inlineStr">
        <is>
          <t>DALARNAS LÄN</t>
        </is>
      </c>
      <c r="E442" t="inlineStr">
        <is>
          <t>AVESTA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22260-2024</t>
        </is>
      </c>
      <c r="B443" s="1" t="n">
        <v>45446</v>
      </c>
      <c r="C443" s="1" t="n">
        <v>45474</v>
      </c>
      <c r="D443" t="inlineStr">
        <is>
          <t>DALARNAS LÄN</t>
        </is>
      </c>
      <c r="E443" t="inlineStr">
        <is>
          <t>AVESTA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22246-2024</t>
        </is>
      </c>
      <c r="B444" s="1" t="n">
        <v>45446</v>
      </c>
      <c r="C444" s="1" t="n">
        <v>45474</v>
      </c>
      <c r="D444" t="inlineStr">
        <is>
          <t>DALARNAS LÄN</t>
        </is>
      </c>
      <c r="E444" t="inlineStr">
        <is>
          <t>AVESTA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22255-2024</t>
        </is>
      </c>
      <c r="B445" s="1" t="n">
        <v>45446</v>
      </c>
      <c r="C445" s="1" t="n">
        <v>45474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22257-2024</t>
        </is>
      </c>
      <c r="B446" s="1" t="n">
        <v>45446</v>
      </c>
      <c r="C446" s="1" t="n">
        <v>45474</v>
      </c>
      <c r="D446" t="inlineStr">
        <is>
          <t>DALARNAS LÄN</t>
        </is>
      </c>
      <c r="E446" t="inlineStr">
        <is>
          <t>AVESTA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22265-2024</t>
        </is>
      </c>
      <c r="B447" s="1" t="n">
        <v>45446</v>
      </c>
      <c r="C447" s="1" t="n">
        <v>45474</v>
      </c>
      <c r="D447" t="inlineStr">
        <is>
          <t>DALARNAS LÄN</t>
        </is>
      </c>
      <c r="E447" t="inlineStr">
        <is>
          <t>AVESTA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45474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45474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45474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45474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45474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45474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45474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45474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45474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26732-2024</t>
        </is>
      </c>
      <c r="B457" s="1" t="n">
        <v>45470</v>
      </c>
      <c r="C457" s="1" t="n">
        <v>45474</v>
      </c>
      <c r="D457" t="inlineStr">
        <is>
          <t>DALARNAS LÄN</t>
        </is>
      </c>
      <c r="E457" t="inlineStr">
        <is>
          <t>AVESTA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27344-2024</t>
        </is>
      </c>
      <c r="B458" s="1" t="n">
        <v>45473</v>
      </c>
      <c r="C458" s="1" t="n">
        <v>45474</v>
      </c>
      <c r="D458" t="inlineStr">
        <is>
          <t>DALARNAS LÄN</t>
        </is>
      </c>
      <c r="E458" t="inlineStr">
        <is>
          <t>AVESTA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27345-2024</t>
        </is>
      </c>
      <c r="B459" s="1" t="n">
        <v>45473</v>
      </c>
      <c r="C459" s="1" t="n">
        <v>45474</v>
      </c>
      <c r="D459" t="inlineStr">
        <is>
          <t>DALARNAS LÄN</t>
        </is>
      </c>
      <c r="E459" t="inlineStr">
        <is>
          <t>AVESTA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27343-2024</t>
        </is>
      </c>
      <c r="B460" s="1" t="n">
        <v>45473</v>
      </c>
      <c r="C460" s="1" t="n">
        <v>45474</v>
      </c>
      <c r="D460" t="inlineStr">
        <is>
          <t>DALARNAS LÄN</t>
        </is>
      </c>
      <c r="E460" t="inlineStr">
        <is>
          <t>AVESTA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2024-07-01T10:11:21Z</dcterms:created>
  <dcterms:modified xmlns:dcterms="http://purl.org/dc/terms/" xmlns:xsi="http://www.w3.org/2001/XMLSchema-instance" xsi:type="dcterms:W3CDTF">2024-07-01T10:11:22Z</dcterms:modified>
</cp:coreProperties>
</file>