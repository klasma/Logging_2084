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45343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45343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45343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45343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45343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45343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45343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49150-2021</t>
        </is>
      </c>
      <c r="B9" s="1" t="n">
        <v>44454</v>
      </c>
      <c r="C9" s="1" t="n">
        <v>45343</v>
      </c>
      <c r="D9" t="inlineStr">
        <is>
          <t>DALARNAS LÄN</t>
        </is>
      </c>
      <c r="E9" t="inlineStr">
        <is>
          <t>AVESTA</t>
        </is>
      </c>
      <c r="F9" t="inlineStr">
        <is>
          <t>Sveaskog</t>
        </is>
      </c>
      <c r="G9" t="n">
        <v>2.5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Ostticka
Gropticka
Revlummer</t>
        </is>
      </c>
      <c r="S9">
        <f>HYPERLINK("https://klasma.github.io/Logging_2084/artfynd/A 49150-2021 artfynd.xlsx", "A 49150-2021")</f>
        <v/>
      </c>
      <c r="T9">
        <f>HYPERLINK("https://klasma.github.io/Logging_2084/kartor/A 49150-2021 karta.png", "A 49150-2021")</f>
        <v/>
      </c>
      <c r="V9">
        <f>HYPERLINK("https://klasma.github.io/Logging_2084/klagomål/A 49150-2021 FSC-klagomål.docx", "A 49150-2021")</f>
        <v/>
      </c>
      <c r="W9">
        <f>HYPERLINK("https://klasma.github.io/Logging_2084/klagomålsmail/A 49150-2021 FSC-klagomål mail.docx", "A 49150-2021")</f>
        <v/>
      </c>
      <c r="X9">
        <f>HYPERLINK("https://klasma.github.io/Logging_2084/tillsyn/A 49150-2021 tillsynsbegäran.docx", "A 49150-2021")</f>
        <v/>
      </c>
      <c r="Y9">
        <f>HYPERLINK("https://klasma.github.io/Logging_2084/tillsynsmail/A 49150-2021 tillsynsbegäran mail.docx", "A 49150-2021")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45343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67066-2019</t>
        </is>
      </c>
      <c r="B11" s="1" t="n">
        <v>43805</v>
      </c>
      <c r="C11" s="1" t="n">
        <v>45343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HYPERLINK("https://klasma.github.io/Logging_2084/artfynd/A 67066-2019 artfynd.xlsx", "A 67066-2019")</f>
        <v/>
      </c>
      <c r="T11">
        <f>HYPERLINK("https://klasma.github.io/Logging_2084/kartor/A 67066-2019 karta.png", "A 67066-2019")</f>
        <v/>
      </c>
      <c r="V11">
        <f>HYPERLINK("https://klasma.github.io/Logging_2084/klagomål/A 67066-2019 FSC-klagomål.docx", "A 67066-2019")</f>
        <v/>
      </c>
      <c r="W11">
        <f>HYPERLINK("https://klasma.github.io/Logging_2084/klagomålsmail/A 67066-2019 FSC-klagomål mail.docx", "A 67066-2019")</f>
        <v/>
      </c>
      <c r="X11">
        <f>HYPERLINK("https://klasma.github.io/Logging_2084/tillsyn/A 67066-2019 tillsynsbegäran.docx", "A 67066-2019")</f>
        <v/>
      </c>
      <c r="Y11">
        <f>HYPERLINK("https://klasma.github.io/Logging_2084/tillsynsmail/A 67066-2019 tillsynsbegäran mail.docx", "A 67066-2019")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45343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31017-2022</t>
        </is>
      </c>
      <c r="B13" s="1" t="n">
        <v>44768</v>
      </c>
      <c r="C13" s="1" t="n">
        <v>45343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Mönjevaxskivling</t>
        </is>
      </c>
      <c r="S13">
        <f>HYPERLINK("https://klasma.github.io/Logging_2084/artfynd/A 31017-2022 artfynd.xlsx", "A 31017-2022")</f>
        <v/>
      </c>
      <c r="T13">
        <f>HYPERLINK("https://klasma.github.io/Logging_2084/kartor/A 31017-2022 karta.png", "A 31017-2022")</f>
        <v/>
      </c>
      <c r="V13">
        <f>HYPERLINK("https://klasma.github.io/Logging_2084/klagomål/A 31017-2022 FSC-klagomål.docx", "A 31017-2022")</f>
        <v/>
      </c>
      <c r="W13">
        <f>HYPERLINK("https://klasma.github.io/Logging_2084/klagomålsmail/A 31017-2022 FSC-klagomål mail.docx", "A 31017-2022")</f>
        <v/>
      </c>
      <c r="X13">
        <f>HYPERLINK("https://klasma.github.io/Logging_2084/tillsyn/A 31017-2022 tillsynsbegäran.docx", "A 31017-2022")</f>
        <v/>
      </c>
      <c r="Y13">
        <f>HYPERLINK("https://klasma.github.io/Logging_2084/tillsynsmail/A 31017-2022 tillsynsbegäran mail.docx", "A 31017-2022")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45343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45343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4998-2020</t>
        </is>
      </c>
      <c r="B16" s="1" t="n">
        <v>43859</v>
      </c>
      <c r="C16" s="1" t="n">
        <v>45343</v>
      </c>
      <c r="D16" t="inlineStr">
        <is>
          <t>DALARNAS LÄN</t>
        </is>
      </c>
      <c r="E16" t="inlineStr">
        <is>
          <t>AVESTA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4998-2020 artfynd.xlsx", "A 4998-2020")</f>
        <v/>
      </c>
      <c r="T16">
        <f>HYPERLINK("https://klasma.github.io/Logging_2084/kartor/A 4998-2020 karta.png", "A 4998-2020")</f>
        <v/>
      </c>
      <c r="U16">
        <f>HYPERLINK("https://klasma.github.io/Logging_2084/knärot/A 4998-2020 karta knärot.png", "A 4998-2020")</f>
        <v/>
      </c>
      <c r="V16">
        <f>HYPERLINK("https://klasma.github.io/Logging_2084/klagomål/A 4998-2020 FSC-klagomål.docx", "A 4998-2020")</f>
        <v/>
      </c>
      <c r="W16">
        <f>HYPERLINK("https://klasma.github.io/Logging_2084/klagomålsmail/A 4998-2020 FSC-klagomål mail.docx", "A 4998-2020")</f>
        <v/>
      </c>
      <c r="X16">
        <f>HYPERLINK("https://klasma.github.io/Logging_2084/tillsyn/A 4998-2020 tillsynsbegäran.docx", "A 4998-2020")</f>
        <v/>
      </c>
      <c r="Y16">
        <f>HYPERLINK("https://klasma.github.io/Logging_2084/tillsynsmail/A 4998-2020 tillsynsbegäran mail.docx", "A 4998-2020")</f>
        <v/>
      </c>
    </row>
    <row r="17" ht="15" customHeight="1">
      <c r="A17" t="inlineStr">
        <is>
          <t>A 1695-2022</t>
        </is>
      </c>
      <c r="B17" s="1" t="n">
        <v>44574</v>
      </c>
      <c r="C17" s="1" t="n">
        <v>45343</v>
      </c>
      <c r="D17" t="inlineStr">
        <is>
          <t>DALARNAS LÄN</t>
        </is>
      </c>
      <c r="E17" t="inlineStr">
        <is>
          <t>AVESTA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1695-2022 artfynd.xlsx", "A 1695-2022")</f>
        <v/>
      </c>
      <c r="T17">
        <f>HYPERLINK("https://klasma.github.io/Logging_2084/kartor/A 1695-2022 karta.png", "A 1695-2022")</f>
        <v/>
      </c>
      <c r="U17">
        <f>HYPERLINK("https://klasma.github.io/Logging_2084/knärot/A 1695-2022 karta knärot.png", "A 1695-2022")</f>
        <v/>
      </c>
      <c r="V17">
        <f>HYPERLINK("https://klasma.github.io/Logging_2084/klagomål/A 1695-2022 FSC-klagomål.docx", "A 1695-2022")</f>
        <v/>
      </c>
      <c r="W17">
        <f>HYPERLINK("https://klasma.github.io/Logging_2084/klagomålsmail/A 1695-2022 FSC-klagomål mail.docx", "A 1695-2022")</f>
        <v/>
      </c>
      <c r="X17">
        <f>HYPERLINK("https://klasma.github.io/Logging_2084/tillsyn/A 1695-2022 tillsynsbegäran.docx", "A 1695-2022")</f>
        <v/>
      </c>
      <c r="Y17">
        <f>HYPERLINK("https://klasma.github.io/Logging_2084/tillsynsmail/A 1695-2022 tillsynsbegäran mail.docx", "A 1695-2022")</f>
        <v/>
      </c>
    </row>
    <row r="18" ht="15" customHeight="1">
      <c r="A18" t="inlineStr">
        <is>
          <t>A 12997-2022</t>
        </is>
      </c>
      <c r="B18" s="1" t="n">
        <v>44643</v>
      </c>
      <c r="C18" s="1" t="n">
        <v>45343</v>
      </c>
      <c r="D18" t="inlineStr">
        <is>
          <t>DALARNAS LÄN</t>
        </is>
      </c>
      <c r="E18" t="inlineStr">
        <is>
          <t>AVESTA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HYPERLINK("https://klasma.github.io/Logging_2084/artfynd/A 12997-2022 artfynd.xlsx", "A 12997-2022")</f>
        <v/>
      </c>
      <c r="T18">
        <f>HYPERLINK("https://klasma.github.io/Logging_2084/kartor/A 12997-2022 karta.png", "A 12997-2022")</f>
        <v/>
      </c>
      <c r="V18">
        <f>HYPERLINK("https://klasma.github.io/Logging_2084/klagomål/A 12997-2022 FSC-klagomål.docx", "A 12997-2022")</f>
        <v/>
      </c>
      <c r="W18">
        <f>HYPERLINK("https://klasma.github.io/Logging_2084/klagomålsmail/A 12997-2022 FSC-klagomål mail.docx", "A 12997-2022")</f>
        <v/>
      </c>
      <c r="X18">
        <f>HYPERLINK("https://klasma.github.io/Logging_2084/tillsyn/A 12997-2022 tillsynsbegäran.docx", "A 12997-2022")</f>
        <v/>
      </c>
      <c r="Y18">
        <f>HYPERLINK("https://klasma.github.io/Logging_2084/tillsynsmail/A 12997-2022 tillsynsbegäran mail.docx", "A 12997-2022")</f>
        <v/>
      </c>
      <c r="Z18">
        <f>HYPERLINK("https://klasma.github.io/Logging_2084/fåglar/A 12997-2022 prioriterade fågelarter.docx", "A 12997-2022")</f>
        <v/>
      </c>
    </row>
    <row r="19" ht="15" customHeight="1">
      <c r="A19" t="inlineStr">
        <is>
          <t>A 41888-2023</t>
        </is>
      </c>
      <c r="B19" s="1" t="n">
        <v>45176</v>
      </c>
      <c r="C19" s="1" t="n">
        <v>45343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HYPERLINK("https://klasma.github.io/Logging_2084/artfynd/A 41888-2023 artfynd.xlsx", "A 41888-2023")</f>
        <v/>
      </c>
      <c r="T19">
        <f>HYPERLINK("https://klasma.github.io/Logging_2084/kartor/A 41888-2023 karta.png", "A 41888-2023")</f>
        <v/>
      </c>
      <c r="V19">
        <f>HYPERLINK("https://klasma.github.io/Logging_2084/klagomål/A 41888-2023 FSC-klagomål.docx", "A 41888-2023")</f>
        <v/>
      </c>
      <c r="W19">
        <f>HYPERLINK("https://klasma.github.io/Logging_2084/klagomålsmail/A 41888-2023 FSC-klagomål mail.docx", "A 41888-2023")</f>
        <v/>
      </c>
      <c r="X19">
        <f>HYPERLINK("https://klasma.github.io/Logging_2084/tillsyn/A 41888-2023 tillsynsbegäran.docx", "A 41888-2023")</f>
        <v/>
      </c>
      <c r="Y19">
        <f>HYPERLINK("https://klasma.github.io/Logging_2084/tillsynsmail/A 41888-2023 tillsynsbegäran mail.docx", "A 41888-2023")</f>
        <v/>
      </c>
    </row>
    <row r="20" ht="15" customHeight="1">
      <c r="A20" t="inlineStr">
        <is>
          <t>A 43454-2023</t>
        </is>
      </c>
      <c r="B20" s="1" t="n">
        <v>45184</v>
      </c>
      <c r="C20" s="1" t="n">
        <v>45343</v>
      </c>
      <c r="D20" t="inlineStr">
        <is>
          <t>DALARNAS LÄN</t>
        </is>
      </c>
      <c r="E20" t="inlineStr">
        <is>
          <t>AVESTA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HYPERLINK("https://klasma.github.io/Logging_2084/artfynd/A 43454-2023 artfynd.xlsx", "A 43454-2023")</f>
        <v/>
      </c>
      <c r="T20">
        <f>HYPERLINK("https://klasma.github.io/Logging_2084/kartor/A 43454-2023 karta.png", "A 43454-2023")</f>
        <v/>
      </c>
      <c r="V20">
        <f>HYPERLINK("https://klasma.github.io/Logging_2084/klagomål/A 43454-2023 FSC-klagomål.docx", "A 43454-2023")</f>
        <v/>
      </c>
      <c r="W20">
        <f>HYPERLINK("https://klasma.github.io/Logging_2084/klagomålsmail/A 43454-2023 FSC-klagomål mail.docx", "A 43454-2023")</f>
        <v/>
      </c>
      <c r="X20">
        <f>HYPERLINK("https://klasma.github.io/Logging_2084/tillsyn/A 43454-2023 tillsynsbegäran.docx", "A 43454-2023")</f>
        <v/>
      </c>
      <c r="Y20">
        <f>HYPERLINK("https://klasma.github.io/Logging_2084/tillsynsmail/A 43454-2023 tillsynsbegäran mail.docx", "A 43454-2023")</f>
        <v/>
      </c>
      <c r="Z20">
        <f>HYPERLINK("https://klasma.github.io/Logging_2084/fåglar/A 43454-2023 prioriterade fågelarter.docx", "A 43454-2023")</f>
        <v/>
      </c>
    </row>
    <row r="21" ht="15" customHeight="1">
      <c r="A21" t="inlineStr">
        <is>
          <t>A 43773-2023</t>
        </is>
      </c>
      <c r="B21" s="1" t="n">
        <v>45187</v>
      </c>
      <c r="C21" s="1" t="n">
        <v>45343</v>
      </c>
      <c r="D21" t="inlineStr">
        <is>
          <t>DALARNAS LÄN</t>
        </is>
      </c>
      <c r="E21" t="inlineStr">
        <is>
          <t>AVESTA</t>
        </is>
      </c>
      <c r="G21" t="n">
        <v>8.199999999999999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43773-2023 artfynd.xlsx", "A 43773-2023")</f>
        <v/>
      </c>
      <c r="T21">
        <f>HYPERLINK("https://klasma.github.io/Logging_2084/kartor/A 43773-2023 karta.png", "A 43773-2023")</f>
        <v/>
      </c>
      <c r="U21">
        <f>HYPERLINK("https://klasma.github.io/Logging_2084/knärot/A 43773-2023 karta knärot.png", "A 43773-2023")</f>
        <v/>
      </c>
      <c r="V21">
        <f>HYPERLINK("https://klasma.github.io/Logging_2084/klagomål/A 43773-2023 FSC-klagomål.docx", "A 43773-2023")</f>
        <v/>
      </c>
      <c r="W21">
        <f>HYPERLINK("https://klasma.github.io/Logging_2084/klagomålsmail/A 43773-2023 FSC-klagomål mail.docx", "A 43773-2023")</f>
        <v/>
      </c>
      <c r="X21">
        <f>HYPERLINK("https://klasma.github.io/Logging_2084/tillsyn/A 43773-2023 tillsynsbegäran.docx", "A 43773-2023")</f>
        <v/>
      </c>
      <c r="Y21">
        <f>HYPERLINK("https://klasma.github.io/Logging_2084/tillsynsmail/A 43773-2023 tillsynsbegäran mail.docx", "A 43773-2023")</f>
        <v/>
      </c>
    </row>
    <row r="22" ht="15" customHeight="1">
      <c r="A22" t="inlineStr">
        <is>
          <t>A 56085-2023</t>
        </is>
      </c>
      <c r="B22" s="1" t="n">
        <v>45240</v>
      </c>
      <c r="C22" s="1" t="n">
        <v>45343</v>
      </c>
      <c r="D22" t="inlineStr">
        <is>
          <t>DALARNAS LÄN</t>
        </is>
      </c>
      <c r="E22" t="inlineStr">
        <is>
          <t>AVESTA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Rostfläck</t>
        </is>
      </c>
      <c r="S22">
        <f>HYPERLINK("https://klasma.github.io/Logging_2084/artfynd/A 56085-2023 artfynd.xlsx", "A 56085-2023")</f>
        <v/>
      </c>
      <c r="T22">
        <f>HYPERLINK("https://klasma.github.io/Logging_2084/kartor/A 56085-2023 karta.png", "A 56085-2023")</f>
        <v/>
      </c>
      <c r="V22">
        <f>HYPERLINK("https://klasma.github.io/Logging_2084/klagomål/A 56085-2023 FSC-klagomål.docx", "A 56085-2023")</f>
        <v/>
      </c>
      <c r="W22">
        <f>HYPERLINK("https://klasma.github.io/Logging_2084/klagomålsmail/A 56085-2023 FSC-klagomål mail.docx", "A 56085-2023")</f>
        <v/>
      </c>
      <c r="X22">
        <f>HYPERLINK("https://klasma.github.io/Logging_2084/tillsyn/A 56085-2023 tillsynsbegäran.docx", "A 56085-2023")</f>
        <v/>
      </c>
      <c r="Y22">
        <f>HYPERLINK("https://klasma.github.io/Logging_2084/tillsynsmail/A 56085-2023 tillsynsbegäran mail.docx", "A 56085-2023")</f>
        <v/>
      </c>
    </row>
    <row r="23" ht="15" customHeight="1">
      <c r="A23" t="inlineStr">
        <is>
          <t>A 61850-2023</t>
        </is>
      </c>
      <c r="B23" s="1" t="n">
        <v>45266</v>
      </c>
      <c r="C23" s="1" t="n">
        <v>45343</v>
      </c>
      <c r="D23" t="inlineStr">
        <is>
          <t>DALARNAS LÄN</t>
        </is>
      </c>
      <c r="E23" t="inlineStr">
        <is>
          <t>AVESTA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61850-2023 artfynd.xlsx", "A 61850-2023")</f>
        <v/>
      </c>
      <c r="T23">
        <f>HYPERLINK("https://klasma.github.io/Logging_2084/kartor/A 61850-2023 karta.png", "A 61850-2023")</f>
        <v/>
      </c>
      <c r="U23">
        <f>HYPERLINK("https://klasma.github.io/Logging_2084/knärot/A 61850-2023 karta knärot.png", "A 61850-2023")</f>
        <v/>
      </c>
      <c r="V23">
        <f>HYPERLINK("https://klasma.github.io/Logging_2084/klagomål/A 61850-2023 FSC-klagomål.docx", "A 61850-2023")</f>
        <v/>
      </c>
      <c r="W23">
        <f>HYPERLINK("https://klasma.github.io/Logging_2084/klagomålsmail/A 61850-2023 FSC-klagomål mail.docx", "A 61850-2023")</f>
        <v/>
      </c>
      <c r="X23">
        <f>HYPERLINK("https://klasma.github.io/Logging_2084/tillsyn/A 61850-2023 tillsynsbegäran.docx", "A 61850-2023")</f>
        <v/>
      </c>
      <c r="Y23">
        <f>HYPERLINK("https://klasma.github.io/Logging_2084/tillsynsmail/A 61850-2023 tillsynsbegäran mail.docx", "A 61850-2023")</f>
        <v/>
      </c>
    </row>
    <row r="24" ht="15" customHeight="1">
      <c r="A24" t="inlineStr">
        <is>
          <t>A 5299-2024</t>
        </is>
      </c>
      <c r="B24" s="1" t="n">
        <v>45331</v>
      </c>
      <c r="C24" s="1" t="n">
        <v>45343</v>
      </c>
      <c r="D24" t="inlineStr">
        <is>
          <t>DALARNAS LÄN</t>
        </is>
      </c>
      <c r="E24" t="inlineStr">
        <is>
          <t>AVESTA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HYPERLINK("https://klasma.github.io/Logging_2084/artfynd/A 5299-2024 artfynd.xlsx", "A 5299-2024")</f>
        <v/>
      </c>
      <c r="T24">
        <f>HYPERLINK("https://klasma.github.io/Logging_2084/kartor/A 5299-2024 karta.png", "A 5299-2024")</f>
        <v/>
      </c>
      <c r="V24">
        <f>HYPERLINK("https://klasma.github.io/Logging_2084/klagomål/A 5299-2024 FSC-klagomål.docx", "A 5299-2024")</f>
        <v/>
      </c>
      <c r="W24">
        <f>HYPERLINK("https://klasma.github.io/Logging_2084/klagomålsmail/A 5299-2024 FSC-klagomål mail.docx", "A 5299-2024")</f>
        <v/>
      </c>
      <c r="X24">
        <f>HYPERLINK("https://klasma.github.io/Logging_2084/tillsyn/A 5299-2024 tillsynsbegäran.docx", "A 5299-2024")</f>
        <v/>
      </c>
      <c r="Y24">
        <f>HYPERLINK("https://klasma.github.io/Logging_2084/tillsynsmail/A 5299-2024 tillsynsbegäran mail.docx", "A 5299-2024")</f>
        <v/>
      </c>
    </row>
    <row r="25" ht="15" customHeight="1">
      <c r="A25" t="inlineStr">
        <is>
          <t>A 34258-2018</t>
        </is>
      </c>
      <c r="B25" s="1" t="n">
        <v>43318</v>
      </c>
      <c r="C25" s="1" t="n">
        <v>45343</v>
      </c>
      <c r="D25" t="inlineStr">
        <is>
          <t>DALARNAS LÄN</t>
        </is>
      </c>
      <c r="E25" t="inlineStr">
        <is>
          <t>AVESTA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44870-2018</t>
        </is>
      </c>
      <c r="B26" s="1" t="n">
        <v>43360</v>
      </c>
      <c r="C26" s="1" t="n">
        <v>45343</v>
      </c>
      <c r="D26" t="inlineStr">
        <is>
          <t>DALARNAS LÄN</t>
        </is>
      </c>
      <c r="E26" t="inlineStr">
        <is>
          <t>AVESTA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64878-2018</t>
        </is>
      </c>
      <c r="B27" s="1" t="n">
        <v>43431</v>
      </c>
      <c r="C27" s="1" t="n">
        <v>45343</v>
      </c>
      <c r="D27" t="inlineStr">
        <is>
          <t>DALARNAS LÄN</t>
        </is>
      </c>
      <c r="E27" t="inlineStr">
        <is>
          <t>AVESTA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65697-2018</t>
        </is>
      </c>
      <c r="B28" s="1" t="n">
        <v>43433</v>
      </c>
      <c r="C28" s="1" t="n">
        <v>45343</v>
      </c>
      <c r="D28" t="inlineStr">
        <is>
          <t>DALARNAS LÄN</t>
        </is>
      </c>
      <c r="E28" t="inlineStr">
        <is>
          <t>AVESTA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66380-2018</t>
        </is>
      </c>
      <c r="B29" s="1" t="n">
        <v>43436</v>
      </c>
      <c r="C29" s="1" t="n">
        <v>45343</v>
      </c>
      <c r="D29" t="inlineStr">
        <is>
          <t>DALARNAS LÄN</t>
        </is>
      </c>
      <c r="E29" t="inlineStr">
        <is>
          <t>AVESTA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69674-2018</t>
        </is>
      </c>
      <c r="B30" s="1" t="n">
        <v>43444</v>
      </c>
      <c r="C30" s="1" t="n">
        <v>45343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70466-2018</t>
        </is>
      </c>
      <c r="B31" s="1" t="n">
        <v>43447</v>
      </c>
      <c r="C31" s="1" t="n">
        <v>45343</v>
      </c>
      <c r="D31" t="inlineStr">
        <is>
          <t>DALARNAS LÄN</t>
        </is>
      </c>
      <c r="E31" t="inlineStr">
        <is>
          <t>AVESTA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71656-2018</t>
        </is>
      </c>
      <c r="B32" s="1" t="n">
        <v>43454</v>
      </c>
      <c r="C32" s="1" t="n">
        <v>45343</v>
      </c>
      <c r="D32" t="inlineStr">
        <is>
          <t>DALARNAS LÄN</t>
        </is>
      </c>
      <c r="E32" t="inlineStr">
        <is>
          <t>AVESTA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2370-2019</t>
        </is>
      </c>
      <c r="B33" s="1" t="n">
        <v>43468</v>
      </c>
      <c r="C33" s="1" t="n">
        <v>45343</v>
      </c>
      <c r="D33" t="inlineStr">
        <is>
          <t>DALARNAS LÄN</t>
        </is>
      </c>
      <c r="E33" t="inlineStr">
        <is>
          <t>AVESTA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1270-2019</t>
        </is>
      </c>
      <c r="B34" s="1" t="n">
        <v>43473</v>
      </c>
      <c r="C34" s="1" t="n">
        <v>45343</v>
      </c>
      <c r="D34" t="inlineStr">
        <is>
          <t>DALARNAS LÄN</t>
        </is>
      </c>
      <c r="E34" t="inlineStr">
        <is>
          <t>AVESTA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7604-2019</t>
        </is>
      </c>
      <c r="B35" s="1" t="n">
        <v>43499</v>
      </c>
      <c r="C35" s="1" t="n">
        <v>45343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9897-2019</t>
        </is>
      </c>
      <c r="B36" s="1" t="n">
        <v>43509</v>
      </c>
      <c r="C36" s="1" t="n">
        <v>45343</v>
      </c>
      <c r="D36" t="inlineStr">
        <is>
          <t>DALARNAS LÄN</t>
        </is>
      </c>
      <c r="E36" t="inlineStr">
        <is>
          <t>AVESTA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13083-2019</t>
        </is>
      </c>
      <c r="B37" s="1" t="n">
        <v>43528</v>
      </c>
      <c r="C37" s="1" t="n">
        <v>45343</v>
      </c>
      <c r="D37" t="inlineStr">
        <is>
          <t>DALARNAS LÄN</t>
        </is>
      </c>
      <c r="E37" t="inlineStr">
        <is>
          <t>AVESTA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16962-2019</t>
        </is>
      </c>
      <c r="B38" s="1" t="n">
        <v>43550</v>
      </c>
      <c r="C38" s="1" t="n">
        <v>45343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18152-2019</t>
        </is>
      </c>
      <c r="B39" s="1" t="n">
        <v>43558</v>
      </c>
      <c r="C39" s="1" t="n">
        <v>45343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45343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45343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45343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45343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45343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45343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45343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45343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45343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45343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45343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45343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35578-2019</t>
        </is>
      </c>
      <c r="B52" s="1" t="n">
        <v>43664</v>
      </c>
      <c r="C52" s="1" t="n">
        <v>45343</v>
      </c>
      <c r="D52" t="inlineStr">
        <is>
          <t>DALARNAS LÄN</t>
        </is>
      </c>
      <c r="E52" t="inlineStr">
        <is>
          <t>AVESTA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36010-2019</t>
        </is>
      </c>
      <c r="B53" s="1" t="n">
        <v>43668</v>
      </c>
      <c r="C53" s="1" t="n">
        <v>45343</v>
      </c>
      <c r="D53" t="inlineStr">
        <is>
          <t>DALARNAS LÄN</t>
        </is>
      </c>
      <c r="E53" t="inlineStr">
        <is>
          <t>AVESTA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36025-2019</t>
        </is>
      </c>
      <c r="B54" s="1" t="n">
        <v>43668</v>
      </c>
      <c r="C54" s="1" t="n">
        <v>45343</v>
      </c>
      <c r="D54" t="inlineStr">
        <is>
          <t>DALARNAS LÄN</t>
        </is>
      </c>
      <c r="E54" t="inlineStr">
        <is>
          <t>AVESTA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36823-2019</t>
        </is>
      </c>
      <c r="B55" s="1" t="n">
        <v>43674</v>
      </c>
      <c r="C55" s="1" t="n">
        <v>45343</v>
      </c>
      <c r="D55" t="inlineStr">
        <is>
          <t>DALARNAS LÄN</t>
        </is>
      </c>
      <c r="E55" t="inlineStr">
        <is>
          <t>AVESTA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36824-2019</t>
        </is>
      </c>
      <c r="B56" s="1" t="n">
        <v>43674</v>
      </c>
      <c r="C56" s="1" t="n">
        <v>45343</v>
      </c>
      <c r="D56" t="inlineStr">
        <is>
          <t>DALARNAS LÄN</t>
        </is>
      </c>
      <c r="E56" t="inlineStr">
        <is>
          <t>AVESTA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38526-2019</t>
        </is>
      </c>
      <c r="B57" s="1" t="n">
        <v>43685</v>
      </c>
      <c r="C57" s="1" t="n">
        <v>45343</v>
      </c>
      <c r="D57" t="inlineStr">
        <is>
          <t>DALARNAS LÄN</t>
        </is>
      </c>
      <c r="E57" t="inlineStr">
        <is>
          <t>AVESTA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40100-2019</t>
        </is>
      </c>
      <c r="B58" s="1" t="n">
        <v>43693</v>
      </c>
      <c r="C58" s="1" t="n">
        <v>45343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40066-2019</t>
        </is>
      </c>
      <c r="B59" s="1" t="n">
        <v>43693</v>
      </c>
      <c r="C59" s="1" t="n">
        <v>45343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40068-2019</t>
        </is>
      </c>
      <c r="B60" s="1" t="n">
        <v>43693</v>
      </c>
      <c r="C60" s="1" t="n">
        <v>45343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40088-2019</t>
        </is>
      </c>
      <c r="B61" s="1" t="n">
        <v>43693</v>
      </c>
      <c r="C61" s="1" t="n">
        <v>45343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40058-2019</t>
        </is>
      </c>
      <c r="B62" s="1" t="n">
        <v>43693</v>
      </c>
      <c r="C62" s="1" t="n">
        <v>45343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41062-2019</t>
        </is>
      </c>
      <c r="B63" s="1" t="n">
        <v>43698</v>
      </c>
      <c r="C63" s="1" t="n">
        <v>45343</v>
      </c>
      <c r="D63" t="inlineStr">
        <is>
          <t>DALARNAS LÄN</t>
        </is>
      </c>
      <c r="E63" t="inlineStr">
        <is>
          <t>AVESTA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41335-2019</t>
        </is>
      </c>
      <c r="B64" s="1" t="n">
        <v>43698</v>
      </c>
      <c r="C64" s="1" t="n">
        <v>45343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41066-2019</t>
        </is>
      </c>
      <c r="B65" s="1" t="n">
        <v>43698</v>
      </c>
      <c r="C65" s="1" t="n">
        <v>45343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43523-2019</t>
        </is>
      </c>
      <c r="B66" s="1" t="n">
        <v>43706</v>
      </c>
      <c r="C66" s="1" t="n">
        <v>45343</v>
      </c>
      <c r="D66" t="inlineStr">
        <is>
          <t>DALARNAS LÄN</t>
        </is>
      </c>
      <c r="E66" t="inlineStr">
        <is>
          <t>AVESTA</t>
        </is>
      </c>
      <c r="F66" t="inlineStr">
        <is>
          <t>Kyrkan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44663-2019</t>
        </is>
      </c>
      <c r="B67" s="1" t="n">
        <v>43712</v>
      </c>
      <c r="C67" s="1" t="n">
        <v>45343</v>
      </c>
      <c r="D67" t="inlineStr">
        <is>
          <t>DALARNAS LÄN</t>
        </is>
      </c>
      <c r="E67" t="inlineStr">
        <is>
          <t>AVESTA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45827-2019</t>
        </is>
      </c>
      <c r="B68" s="1" t="n">
        <v>43717</v>
      </c>
      <c r="C68" s="1" t="n">
        <v>45343</v>
      </c>
      <c r="D68" t="inlineStr">
        <is>
          <t>DALARNAS LÄN</t>
        </is>
      </c>
      <c r="E68" t="inlineStr">
        <is>
          <t>AVESTA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49272-2019</t>
        </is>
      </c>
      <c r="B69" s="1" t="n">
        <v>43731</v>
      </c>
      <c r="C69" s="1" t="n">
        <v>45343</v>
      </c>
      <c r="D69" t="inlineStr">
        <is>
          <t>DALARNAS LÄN</t>
        </is>
      </c>
      <c r="E69" t="inlineStr">
        <is>
          <t>AVESTA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49620-2019</t>
        </is>
      </c>
      <c r="B70" s="1" t="n">
        <v>43732</v>
      </c>
      <c r="C70" s="1" t="n">
        <v>45343</v>
      </c>
      <c r="D70" t="inlineStr">
        <is>
          <t>DALARNAS LÄN</t>
        </is>
      </c>
      <c r="E70" t="inlineStr">
        <is>
          <t>AVESTA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53459-2019</t>
        </is>
      </c>
      <c r="B71" s="1" t="n">
        <v>43748</v>
      </c>
      <c r="C71" s="1" t="n">
        <v>45343</v>
      </c>
      <c r="D71" t="inlineStr">
        <is>
          <t>DALARNAS LÄN</t>
        </is>
      </c>
      <c r="E71" t="inlineStr">
        <is>
          <t>AVESTA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53977-2019</t>
        </is>
      </c>
      <c r="B72" s="1" t="n">
        <v>43752</v>
      </c>
      <c r="C72" s="1" t="n">
        <v>45343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60217-2019</t>
        </is>
      </c>
      <c r="B73" s="1" t="n">
        <v>43780</v>
      </c>
      <c r="C73" s="1" t="n">
        <v>45343</v>
      </c>
      <c r="D73" t="inlineStr">
        <is>
          <t>DALARNAS LÄN</t>
        </is>
      </c>
      <c r="E73" t="inlineStr">
        <is>
          <t>AVESTA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60242-2019</t>
        </is>
      </c>
      <c r="B74" s="1" t="n">
        <v>43780</v>
      </c>
      <c r="C74" s="1" t="n">
        <v>45343</v>
      </c>
      <c r="D74" t="inlineStr">
        <is>
          <t>DALARNAS LÄN</t>
        </is>
      </c>
      <c r="E74" t="inlineStr">
        <is>
          <t>AVESTA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60201-2019</t>
        </is>
      </c>
      <c r="B75" s="1" t="n">
        <v>43780</v>
      </c>
      <c r="C75" s="1" t="n">
        <v>45343</v>
      </c>
      <c r="D75" t="inlineStr">
        <is>
          <t>DALARNAS LÄN</t>
        </is>
      </c>
      <c r="E75" t="inlineStr">
        <is>
          <t>AVESTA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60414-2019</t>
        </is>
      </c>
      <c r="B76" s="1" t="n">
        <v>43780</v>
      </c>
      <c r="C76" s="1" t="n">
        <v>45343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60280-2019</t>
        </is>
      </c>
      <c r="B77" s="1" t="n">
        <v>43780</v>
      </c>
      <c r="C77" s="1" t="n">
        <v>45343</v>
      </c>
      <c r="D77" t="inlineStr">
        <is>
          <t>DALARNAS LÄN</t>
        </is>
      </c>
      <c r="E77" t="inlineStr">
        <is>
          <t>AVESTA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60419-2019</t>
        </is>
      </c>
      <c r="B78" s="1" t="n">
        <v>43780</v>
      </c>
      <c r="C78" s="1" t="n">
        <v>45343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60304-2019</t>
        </is>
      </c>
      <c r="B79" s="1" t="n">
        <v>43780</v>
      </c>
      <c r="C79" s="1" t="n">
        <v>45343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62120-2019</t>
        </is>
      </c>
      <c r="B80" s="1" t="n">
        <v>43782</v>
      </c>
      <c r="C80" s="1" t="n">
        <v>45343</v>
      </c>
      <c r="D80" t="inlineStr">
        <is>
          <t>DALARNAS LÄN</t>
        </is>
      </c>
      <c r="E80" t="inlineStr">
        <is>
          <t>AVESTA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62818-2019</t>
        </is>
      </c>
      <c r="B81" s="1" t="n">
        <v>43790</v>
      </c>
      <c r="C81" s="1" t="n">
        <v>45343</v>
      </c>
      <c r="D81" t="inlineStr">
        <is>
          <t>DALARNAS LÄN</t>
        </is>
      </c>
      <c r="E81" t="inlineStr">
        <is>
          <t>AVESTA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65871-2019</t>
        </is>
      </c>
      <c r="B82" s="1" t="n">
        <v>43805</v>
      </c>
      <c r="C82" s="1" t="n">
        <v>45343</v>
      </c>
      <c r="D82" t="inlineStr">
        <is>
          <t>DALARNAS LÄN</t>
        </is>
      </c>
      <c r="E82" t="inlineStr">
        <is>
          <t>AVESTA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66721-2019</t>
        </is>
      </c>
      <c r="B83" s="1" t="n">
        <v>43810</v>
      </c>
      <c r="C83" s="1" t="n">
        <v>45343</v>
      </c>
      <c r="D83" t="inlineStr">
        <is>
          <t>DALARNAS LÄN</t>
        </is>
      </c>
      <c r="E83" t="inlineStr">
        <is>
          <t>AVESTA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2746-2020</t>
        </is>
      </c>
      <c r="B84" s="1" t="n">
        <v>43843</v>
      </c>
      <c r="C84" s="1" t="n">
        <v>45343</v>
      </c>
      <c r="D84" t="inlineStr">
        <is>
          <t>DALARNAS LÄN</t>
        </is>
      </c>
      <c r="E84" t="inlineStr">
        <is>
          <t>AVESTA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4632-2020</t>
        </is>
      </c>
      <c r="B85" s="1" t="n">
        <v>43858</v>
      </c>
      <c r="C85" s="1" t="n">
        <v>45343</v>
      </c>
      <c r="D85" t="inlineStr">
        <is>
          <t>DALARNAS LÄN</t>
        </is>
      </c>
      <c r="E85" t="inlineStr">
        <is>
          <t>AVESTA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10881-2020</t>
        </is>
      </c>
      <c r="B86" s="1" t="n">
        <v>43885</v>
      </c>
      <c r="C86" s="1" t="n">
        <v>45343</v>
      </c>
      <c r="D86" t="inlineStr">
        <is>
          <t>DALARNAS LÄN</t>
        </is>
      </c>
      <c r="E86" t="inlineStr">
        <is>
          <t>AVESTA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11310-2020</t>
        </is>
      </c>
      <c r="B87" s="1" t="n">
        <v>43886</v>
      </c>
      <c r="C87" s="1" t="n">
        <v>45343</v>
      </c>
      <c r="D87" t="inlineStr">
        <is>
          <t>DALARNAS LÄN</t>
        </is>
      </c>
      <c r="E87" t="inlineStr">
        <is>
          <t>AVESTA</t>
        </is>
      </c>
      <c r="F87" t="inlineStr">
        <is>
          <t>Bergvik skog väst AB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11721-2020</t>
        </is>
      </c>
      <c r="B88" s="1" t="n">
        <v>43894</v>
      </c>
      <c r="C88" s="1" t="n">
        <v>45343</v>
      </c>
      <c r="D88" t="inlineStr">
        <is>
          <t>DALARNAS LÄN</t>
        </is>
      </c>
      <c r="E88" t="inlineStr">
        <is>
          <t>AVESTA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11780-2020</t>
        </is>
      </c>
      <c r="B89" s="1" t="n">
        <v>43894</v>
      </c>
      <c r="C89" s="1" t="n">
        <v>45343</v>
      </c>
      <c r="D89" t="inlineStr">
        <is>
          <t>DALARNAS LÄN</t>
        </is>
      </c>
      <c r="E89" t="inlineStr">
        <is>
          <t>AVESTA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13840-2020</t>
        </is>
      </c>
      <c r="B90" s="1" t="n">
        <v>43906</v>
      </c>
      <c r="C90" s="1" t="n">
        <v>45343</v>
      </c>
      <c r="D90" t="inlineStr">
        <is>
          <t>DALARNAS LÄN</t>
        </is>
      </c>
      <c r="E90" t="inlineStr">
        <is>
          <t>AVESTA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17268-2020</t>
        </is>
      </c>
      <c r="B91" s="1" t="n">
        <v>43922</v>
      </c>
      <c r="C91" s="1" t="n">
        <v>45343</v>
      </c>
      <c r="D91" t="inlineStr">
        <is>
          <t>DALARNAS LÄN</t>
        </is>
      </c>
      <c r="E91" t="inlineStr">
        <is>
          <t>AVESTA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18541-2020</t>
        </is>
      </c>
      <c r="B92" s="1" t="n">
        <v>43929</v>
      </c>
      <c r="C92" s="1" t="n">
        <v>45343</v>
      </c>
      <c r="D92" t="inlineStr">
        <is>
          <t>DALARNAS LÄN</t>
        </is>
      </c>
      <c r="E92" t="inlineStr">
        <is>
          <t>AVESTA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18686-2020</t>
        </is>
      </c>
      <c r="B93" s="1" t="n">
        <v>43930</v>
      </c>
      <c r="C93" s="1" t="n">
        <v>45343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20955-2020</t>
        </is>
      </c>
      <c r="B94" s="1" t="n">
        <v>43950</v>
      </c>
      <c r="C94" s="1" t="n">
        <v>45343</v>
      </c>
      <c r="D94" t="inlineStr">
        <is>
          <t>DALARNAS LÄN</t>
        </is>
      </c>
      <c r="E94" t="inlineStr">
        <is>
          <t>AVESTA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21454-2020</t>
        </is>
      </c>
      <c r="B95" s="1" t="n">
        <v>43956</v>
      </c>
      <c r="C95" s="1" t="n">
        <v>45343</v>
      </c>
      <c r="D95" t="inlineStr">
        <is>
          <t>DALARNAS LÄN</t>
        </is>
      </c>
      <c r="E95" t="inlineStr">
        <is>
          <t>AVESTA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21455-2020</t>
        </is>
      </c>
      <c r="B96" s="1" t="n">
        <v>43956</v>
      </c>
      <c r="C96" s="1" t="n">
        <v>45343</v>
      </c>
      <c r="D96" t="inlineStr">
        <is>
          <t>DALARNAS LÄN</t>
        </is>
      </c>
      <c r="E96" t="inlineStr">
        <is>
          <t>AVESTA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21654-2020</t>
        </is>
      </c>
      <c r="B97" s="1" t="n">
        <v>43957</v>
      </c>
      <c r="C97" s="1" t="n">
        <v>45343</v>
      </c>
      <c r="D97" t="inlineStr">
        <is>
          <t>DALARNAS LÄN</t>
        </is>
      </c>
      <c r="E97" t="inlineStr">
        <is>
          <t>AVESTA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24087-2020</t>
        </is>
      </c>
      <c r="B98" s="1" t="n">
        <v>43972</v>
      </c>
      <c r="C98" s="1" t="n">
        <v>45343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24273-2020</t>
        </is>
      </c>
      <c r="B99" s="1" t="n">
        <v>43976</v>
      </c>
      <c r="C99" s="1" t="n">
        <v>45343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24556-2020</t>
        </is>
      </c>
      <c r="B100" s="1" t="n">
        <v>43977</v>
      </c>
      <c r="C100" s="1" t="n">
        <v>45343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24697-2020</t>
        </is>
      </c>
      <c r="B101" s="1" t="n">
        <v>43978</v>
      </c>
      <c r="C101" s="1" t="n">
        <v>45343</v>
      </c>
      <c r="D101" t="inlineStr">
        <is>
          <t>DALARNAS LÄN</t>
        </is>
      </c>
      <c r="E101" t="inlineStr">
        <is>
          <t>AVESTA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25134-2020</t>
        </is>
      </c>
      <c r="B102" s="1" t="n">
        <v>43980</v>
      </c>
      <c r="C102" s="1" t="n">
        <v>45343</v>
      </c>
      <c r="D102" t="inlineStr">
        <is>
          <t>DALARNAS LÄN</t>
        </is>
      </c>
      <c r="E102" t="inlineStr">
        <is>
          <t>AVESTA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26444-2020</t>
        </is>
      </c>
      <c r="B103" s="1" t="n">
        <v>43987</v>
      </c>
      <c r="C103" s="1" t="n">
        <v>45343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26443-2020</t>
        </is>
      </c>
      <c r="B104" s="1" t="n">
        <v>43987</v>
      </c>
      <c r="C104" s="1" t="n">
        <v>45343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28661-2020</t>
        </is>
      </c>
      <c r="B105" s="1" t="n">
        <v>43998</v>
      </c>
      <c r="C105" s="1" t="n">
        <v>45343</v>
      </c>
      <c r="D105" t="inlineStr">
        <is>
          <t>DALARNAS LÄN</t>
        </is>
      </c>
      <c r="E105" t="inlineStr">
        <is>
          <t>AVESTA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33495-2020</t>
        </is>
      </c>
      <c r="B106" s="1" t="n">
        <v>44025</v>
      </c>
      <c r="C106" s="1" t="n">
        <v>45343</v>
      </c>
      <c r="D106" t="inlineStr">
        <is>
          <t>DALARNAS LÄN</t>
        </is>
      </c>
      <c r="E106" t="inlineStr">
        <is>
          <t>AVESTA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35075-2020</t>
        </is>
      </c>
      <c r="B107" s="1" t="n">
        <v>44039</v>
      </c>
      <c r="C107" s="1" t="n">
        <v>45343</v>
      </c>
      <c r="D107" t="inlineStr">
        <is>
          <t>DALARNAS LÄN</t>
        </is>
      </c>
      <c r="E107" t="inlineStr">
        <is>
          <t>AVESTA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36027-2020</t>
        </is>
      </c>
      <c r="B108" s="1" t="n">
        <v>44047</v>
      </c>
      <c r="C108" s="1" t="n">
        <v>45343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36201-2020</t>
        </is>
      </c>
      <c r="B109" s="1" t="n">
        <v>44048</v>
      </c>
      <c r="C109" s="1" t="n">
        <v>45343</v>
      </c>
      <c r="D109" t="inlineStr">
        <is>
          <t>DALARNAS LÄN</t>
        </is>
      </c>
      <c r="E109" t="inlineStr">
        <is>
          <t>AVESTA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36948-2020</t>
        </is>
      </c>
      <c r="B110" s="1" t="n">
        <v>44053</v>
      </c>
      <c r="C110" s="1" t="n">
        <v>45343</v>
      </c>
      <c r="D110" t="inlineStr">
        <is>
          <t>DALARNAS LÄN</t>
        </is>
      </c>
      <c r="E110" t="inlineStr">
        <is>
          <t>AVESTA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38121-2020</t>
        </is>
      </c>
      <c r="B111" s="1" t="n">
        <v>44059</v>
      </c>
      <c r="C111" s="1" t="n">
        <v>45343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39495-2020</t>
        </is>
      </c>
      <c r="B112" s="1" t="n">
        <v>44064</v>
      </c>
      <c r="C112" s="1" t="n">
        <v>45343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42029-2020</t>
        </is>
      </c>
      <c r="B113" s="1" t="n">
        <v>44075</v>
      </c>
      <c r="C113" s="1" t="n">
        <v>45343</v>
      </c>
      <c r="D113" t="inlineStr">
        <is>
          <t>DALARNAS LÄN</t>
        </is>
      </c>
      <c r="E113" t="inlineStr">
        <is>
          <t>AVESTA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43056-2020</t>
        </is>
      </c>
      <c r="B114" s="1" t="n">
        <v>44078</v>
      </c>
      <c r="C114" s="1" t="n">
        <v>45343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43799-2020</t>
        </is>
      </c>
      <c r="B115" s="1" t="n">
        <v>44082</v>
      </c>
      <c r="C115" s="1" t="n">
        <v>45343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43488-2020</t>
        </is>
      </c>
      <c r="B116" s="1" t="n">
        <v>44082</v>
      </c>
      <c r="C116" s="1" t="n">
        <v>45343</v>
      </c>
      <c r="D116" t="inlineStr">
        <is>
          <t>DALARNAS LÄN</t>
        </is>
      </c>
      <c r="E116" t="inlineStr">
        <is>
          <t>AVESTA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HYPERLINK("https://klasma.github.io/Logging_2084/knärot/A 43488-2020 karta knärot.png", "A 43488-2020")</f>
        <v/>
      </c>
      <c r="V116">
        <f>HYPERLINK("https://klasma.github.io/Logging_2084/klagomål/A 43488-2020 FSC-klagomål.docx", "A 43488-2020")</f>
        <v/>
      </c>
      <c r="W116">
        <f>HYPERLINK("https://klasma.github.io/Logging_2084/klagomålsmail/A 43488-2020 FSC-klagomål mail.docx", "A 43488-2020")</f>
        <v/>
      </c>
      <c r="X116">
        <f>HYPERLINK("https://klasma.github.io/Logging_2084/tillsyn/A 43488-2020 tillsynsbegäran.docx", "A 43488-2020")</f>
        <v/>
      </c>
      <c r="Y116">
        <f>HYPERLINK("https://klasma.github.io/Logging_2084/tillsynsmail/A 43488-2020 tillsynsbegäran mail.docx", "A 43488-2020")</f>
        <v/>
      </c>
    </row>
    <row r="117" ht="15" customHeight="1">
      <c r="A117" t="inlineStr">
        <is>
          <t>A 44240-2020</t>
        </is>
      </c>
      <c r="B117" s="1" t="n">
        <v>44084</v>
      </c>
      <c r="C117" s="1" t="n">
        <v>45343</v>
      </c>
      <c r="D117" t="inlineStr">
        <is>
          <t>DALARNAS LÄN</t>
        </is>
      </c>
      <c r="E117" t="inlineStr">
        <is>
          <t>AVESTA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44310-2020</t>
        </is>
      </c>
      <c r="B118" s="1" t="n">
        <v>44084</v>
      </c>
      <c r="C118" s="1" t="n">
        <v>45343</v>
      </c>
      <c r="D118" t="inlineStr">
        <is>
          <t>DALARNAS LÄN</t>
        </is>
      </c>
      <c r="E118" t="inlineStr">
        <is>
          <t>AVESTA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45205-2020</t>
        </is>
      </c>
      <c r="B119" s="1" t="n">
        <v>44088</v>
      </c>
      <c r="C119" s="1" t="n">
        <v>45343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47287-2020</t>
        </is>
      </c>
      <c r="B120" s="1" t="n">
        <v>44097</v>
      </c>
      <c r="C120" s="1" t="n">
        <v>45343</v>
      </c>
      <c r="D120" t="inlineStr">
        <is>
          <t>DALARNAS LÄN</t>
        </is>
      </c>
      <c r="E120" t="inlineStr">
        <is>
          <t>AVESTA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52312-2020</t>
        </is>
      </c>
      <c r="B121" s="1" t="n">
        <v>44117</v>
      </c>
      <c r="C121" s="1" t="n">
        <v>45343</v>
      </c>
      <c r="D121" t="inlineStr">
        <is>
          <t>DALARNAS LÄN</t>
        </is>
      </c>
      <c r="E121" t="inlineStr">
        <is>
          <t>AVESTA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52313-2020</t>
        </is>
      </c>
      <c r="B122" s="1" t="n">
        <v>44117</v>
      </c>
      <c r="C122" s="1" t="n">
        <v>45343</v>
      </c>
      <c r="D122" t="inlineStr">
        <is>
          <t>DALARNAS LÄN</t>
        </is>
      </c>
      <c r="E122" t="inlineStr">
        <is>
          <t>AVESTA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52373-2020</t>
        </is>
      </c>
      <c r="B123" s="1" t="n">
        <v>44118</v>
      </c>
      <c r="C123" s="1" t="n">
        <v>45343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52888-2020</t>
        </is>
      </c>
      <c r="B124" s="1" t="n">
        <v>44119</v>
      </c>
      <c r="C124" s="1" t="n">
        <v>45343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52887-2020</t>
        </is>
      </c>
      <c r="B125" s="1" t="n">
        <v>44119</v>
      </c>
      <c r="C125" s="1" t="n">
        <v>45343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59199-2020</t>
        </is>
      </c>
      <c r="B126" s="1" t="n">
        <v>44147</v>
      </c>
      <c r="C126" s="1" t="n">
        <v>45343</v>
      </c>
      <c r="D126" t="inlineStr">
        <is>
          <t>DALARNAS LÄN</t>
        </is>
      </c>
      <c r="E126" t="inlineStr">
        <is>
          <t>AVESTA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62147-2020</t>
        </is>
      </c>
      <c r="B127" s="1" t="n">
        <v>44159</v>
      </c>
      <c r="C127" s="1" t="n">
        <v>45343</v>
      </c>
      <c r="D127" t="inlineStr">
        <is>
          <t>DALARNAS LÄN</t>
        </is>
      </c>
      <c r="E127" t="inlineStr">
        <is>
          <t>AVESTA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63104-2020</t>
        </is>
      </c>
      <c r="B128" s="1" t="n">
        <v>44159</v>
      </c>
      <c r="C128" s="1" t="n">
        <v>45343</v>
      </c>
      <c r="D128" t="inlineStr">
        <is>
          <t>DALARNAS LÄN</t>
        </is>
      </c>
      <c r="E128" t="inlineStr">
        <is>
          <t>AVESTA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1864-2021</t>
        </is>
      </c>
      <c r="B129" s="1" t="n">
        <v>44210</v>
      </c>
      <c r="C129" s="1" t="n">
        <v>45343</v>
      </c>
      <c r="D129" t="inlineStr">
        <is>
          <t>DALARNAS LÄN</t>
        </is>
      </c>
      <c r="E129" t="inlineStr">
        <is>
          <t>AVESTA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2466-2021</t>
        </is>
      </c>
      <c r="B130" s="1" t="n">
        <v>44214</v>
      </c>
      <c r="C130" s="1" t="n">
        <v>45343</v>
      </c>
      <c r="D130" t="inlineStr">
        <is>
          <t>DALARNAS LÄN</t>
        </is>
      </c>
      <c r="E130" t="inlineStr">
        <is>
          <t>AVESTA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4275-2021</t>
        </is>
      </c>
      <c r="B131" s="1" t="n">
        <v>44223</v>
      </c>
      <c r="C131" s="1" t="n">
        <v>45343</v>
      </c>
      <c r="D131" t="inlineStr">
        <is>
          <t>DALARNAS LÄN</t>
        </is>
      </c>
      <c r="E131" t="inlineStr">
        <is>
          <t>AVESTA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5704-2021</t>
        </is>
      </c>
      <c r="B132" s="1" t="n">
        <v>44230</v>
      </c>
      <c r="C132" s="1" t="n">
        <v>45343</v>
      </c>
      <c r="D132" t="inlineStr">
        <is>
          <t>DALARNAS LÄN</t>
        </is>
      </c>
      <c r="E132" t="inlineStr">
        <is>
          <t>AVESTA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5769-2021</t>
        </is>
      </c>
      <c r="B133" s="1" t="n">
        <v>44230</v>
      </c>
      <c r="C133" s="1" t="n">
        <v>45343</v>
      </c>
      <c r="D133" t="inlineStr">
        <is>
          <t>DALARNAS LÄN</t>
        </is>
      </c>
      <c r="E133" t="inlineStr">
        <is>
          <t>AVESTA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6257-2021</t>
        </is>
      </c>
      <c r="B134" s="1" t="n">
        <v>44232</v>
      </c>
      <c r="C134" s="1" t="n">
        <v>45343</v>
      </c>
      <c r="D134" t="inlineStr">
        <is>
          <t>DALARNAS LÄN</t>
        </is>
      </c>
      <c r="E134" t="inlineStr">
        <is>
          <t>AVESTA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13613-2021</t>
        </is>
      </c>
      <c r="B135" s="1" t="n">
        <v>44274</v>
      </c>
      <c r="C135" s="1" t="n">
        <v>45343</v>
      </c>
      <c r="D135" t="inlineStr">
        <is>
          <t>DALARNAS LÄN</t>
        </is>
      </c>
      <c r="E135" t="inlineStr">
        <is>
          <t>AVESTA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13867-2021</t>
        </is>
      </c>
      <c r="B136" s="1" t="n">
        <v>44277</v>
      </c>
      <c r="C136" s="1" t="n">
        <v>45343</v>
      </c>
      <c r="D136" t="inlineStr">
        <is>
          <t>DALARNAS LÄN</t>
        </is>
      </c>
      <c r="E136" t="inlineStr">
        <is>
          <t>AVESTA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14252-2021</t>
        </is>
      </c>
      <c r="B137" s="1" t="n">
        <v>44278</v>
      </c>
      <c r="C137" s="1" t="n">
        <v>45343</v>
      </c>
      <c r="D137" t="inlineStr">
        <is>
          <t>DALARNAS LÄN</t>
        </is>
      </c>
      <c r="E137" t="inlineStr">
        <is>
          <t>AVESTA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15087-2021</t>
        </is>
      </c>
      <c r="B138" s="1" t="n">
        <v>44281</v>
      </c>
      <c r="C138" s="1" t="n">
        <v>45343</v>
      </c>
      <c r="D138" t="inlineStr">
        <is>
          <t>DALARNAS LÄN</t>
        </is>
      </c>
      <c r="E138" t="inlineStr">
        <is>
          <t>AVESTA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15088-2021</t>
        </is>
      </c>
      <c r="B139" s="1" t="n">
        <v>44281</v>
      </c>
      <c r="C139" s="1" t="n">
        <v>45343</v>
      </c>
      <c r="D139" t="inlineStr">
        <is>
          <t>DALARNAS LÄN</t>
        </is>
      </c>
      <c r="E139" t="inlineStr">
        <is>
          <t>AVESTA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17316-2021</t>
        </is>
      </c>
      <c r="B140" s="1" t="n">
        <v>44298</v>
      </c>
      <c r="C140" s="1" t="n">
        <v>45343</v>
      </c>
      <c r="D140" t="inlineStr">
        <is>
          <t>DALARNAS LÄN</t>
        </is>
      </c>
      <c r="E140" t="inlineStr">
        <is>
          <t>AVESTA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18291-2021</t>
        </is>
      </c>
      <c r="B141" s="1" t="n">
        <v>44305</v>
      </c>
      <c r="C141" s="1" t="n">
        <v>45343</v>
      </c>
      <c r="D141" t="inlineStr">
        <is>
          <t>DALARNAS LÄN</t>
        </is>
      </c>
      <c r="E141" t="inlineStr">
        <is>
          <t>AVESTA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18896-2021</t>
        </is>
      </c>
      <c r="B142" s="1" t="n">
        <v>44308</v>
      </c>
      <c r="C142" s="1" t="n">
        <v>45343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19797-2021</t>
        </is>
      </c>
      <c r="B143" s="1" t="n">
        <v>44309</v>
      </c>
      <c r="C143" s="1" t="n">
        <v>45343</v>
      </c>
      <c r="D143" t="inlineStr">
        <is>
          <t>DALARNAS LÄN</t>
        </is>
      </c>
      <c r="E143" t="inlineStr">
        <is>
          <t>AVESTA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19867-2021</t>
        </is>
      </c>
      <c r="B144" s="1" t="n">
        <v>44313</v>
      </c>
      <c r="C144" s="1" t="n">
        <v>45343</v>
      </c>
      <c r="D144" t="inlineStr">
        <is>
          <t>DALARNAS LÄN</t>
        </is>
      </c>
      <c r="E144" t="inlineStr">
        <is>
          <t>AVESTA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23005-2021</t>
        </is>
      </c>
      <c r="B145" s="1" t="n">
        <v>44328</v>
      </c>
      <c r="C145" s="1" t="n">
        <v>45343</v>
      </c>
      <c r="D145" t="inlineStr">
        <is>
          <t>DALARNAS LÄN</t>
        </is>
      </c>
      <c r="E145" t="inlineStr">
        <is>
          <t>AVESTA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23347-2021</t>
        </is>
      </c>
      <c r="B146" s="1" t="n">
        <v>44333</v>
      </c>
      <c r="C146" s="1" t="n">
        <v>45343</v>
      </c>
      <c r="D146" t="inlineStr">
        <is>
          <t>DALARNAS LÄN</t>
        </is>
      </c>
      <c r="E146" t="inlineStr">
        <is>
          <t>AVESTA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26086-2021</t>
        </is>
      </c>
      <c r="B147" s="1" t="n">
        <v>44344</v>
      </c>
      <c r="C147" s="1" t="n">
        <v>45343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26085-2021</t>
        </is>
      </c>
      <c r="B148" s="1" t="n">
        <v>44344</v>
      </c>
      <c r="C148" s="1" t="n">
        <v>45343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27221-2021</t>
        </is>
      </c>
      <c r="B149" s="1" t="n">
        <v>44350</v>
      </c>
      <c r="C149" s="1" t="n">
        <v>45343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28521-2021</t>
        </is>
      </c>
      <c r="B150" s="1" t="n">
        <v>44356</v>
      </c>
      <c r="C150" s="1" t="n">
        <v>45343</v>
      </c>
      <c r="D150" t="inlineStr">
        <is>
          <t>DALARNAS LÄN</t>
        </is>
      </c>
      <c r="E150" t="inlineStr">
        <is>
          <t>AVESTA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28514-2021</t>
        </is>
      </c>
      <c r="B151" s="1" t="n">
        <v>44356</v>
      </c>
      <c r="C151" s="1" t="n">
        <v>45343</v>
      </c>
      <c r="D151" t="inlineStr">
        <is>
          <t>DALARNAS LÄN</t>
        </is>
      </c>
      <c r="E151" t="inlineStr">
        <is>
          <t>AVESTA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28762-2021</t>
        </is>
      </c>
      <c r="B152" s="1" t="n">
        <v>44357</v>
      </c>
      <c r="C152" s="1" t="n">
        <v>45343</v>
      </c>
      <c r="D152" t="inlineStr">
        <is>
          <t>DALARNAS LÄN</t>
        </is>
      </c>
      <c r="E152" t="inlineStr">
        <is>
          <t>AVESTA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31226-2021</t>
        </is>
      </c>
      <c r="B153" s="1" t="n">
        <v>44368</v>
      </c>
      <c r="C153" s="1" t="n">
        <v>45343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31126-2021</t>
        </is>
      </c>
      <c r="B154" s="1" t="n">
        <v>44368</v>
      </c>
      <c r="C154" s="1" t="n">
        <v>45343</v>
      </c>
      <c r="D154" t="inlineStr">
        <is>
          <t>DALARNAS LÄN</t>
        </is>
      </c>
      <c r="E154" t="inlineStr">
        <is>
          <t>AVESTA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32254-2021</t>
        </is>
      </c>
      <c r="B155" s="1" t="n">
        <v>44371</v>
      </c>
      <c r="C155" s="1" t="n">
        <v>45343</v>
      </c>
      <c r="D155" t="inlineStr">
        <is>
          <t>DALARNAS LÄN</t>
        </is>
      </c>
      <c r="E155" t="inlineStr">
        <is>
          <t>AVESTA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32258-2021</t>
        </is>
      </c>
      <c r="B156" s="1" t="n">
        <v>44371</v>
      </c>
      <c r="C156" s="1" t="n">
        <v>45343</v>
      </c>
      <c r="D156" t="inlineStr">
        <is>
          <t>DALARNAS LÄN</t>
        </is>
      </c>
      <c r="E156" t="inlineStr">
        <is>
          <t>AVESTA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32613-2021</t>
        </is>
      </c>
      <c r="B157" s="1" t="n">
        <v>44375</v>
      </c>
      <c r="C157" s="1" t="n">
        <v>45343</v>
      </c>
      <c r="D157" t="inlineStr">
        <is>
          <t>DALARNAS LÄN</t>
        </is>
      </c>
      <c r="E157" t="inlineStr">
        <is>
          <t>AVESTA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35855-2021</t>
        </is>
      </c>
      <c r="B158" s="1" t="n">
        <v>44386</v>
      </c>
      <c r="C158" s="1" t="n">
        <v>45343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39164-2021</t>
        </is>
      </c>
      <c r="B159" s="1" t="n">
        <v>44412</v>
      </c>
      <c r="C159" s="1" t="n">
        <v>45343</v>
      </c>
      <c r="D159" t="inlineStr">
        <is>
          <t>DALARNAS LÄN</t>
        </is>
      </c>
      <c r="E159" t="inlineStr">
        <is>
          <t>AVESTA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42326-2021</t>
        </is>
      </c>
      <c r="B160" s="1" t="n">
        <v>44427</v>
      </c>
      <c r="C160" s="1" t="n">
        <v>45343</v>
      </c>
      <c r="D160" t="inlineStr">
        <is>
          <t>DALARNAS LÄN</t>
        </is>
      </c>
      <c r="E160" t="inlineStr">
        <is>
          <t>AVESTA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42701-2021</t>
        </is>
      </c>
      <c r="B161" s="1" t="n">
        <v>44428</v>
      </c>
      <c r="C161" s="1" t="n">
        <v>45343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42704-2021</t>
        </is>
      </c>
      <c r="B162" s="1" t="n">
        <v>44428</v>
      </c>
      <c r="C162" s="1" t="n">
        <v>45343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42735-2021</t>
        </is>
      </c>
      <c r="B163" s="1" t="n">
        <v>44428</v>
      </c>
      <c r="C163" s="1" t="n">
        <v>45343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43767-2021</t>
        </is>
      </c>
      <c r="B164" s="1" t="n">
        <v>44433</v>
      </c>
      <c r="C164" s="1" t="n">
        <v>45343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44710-2021</t>
        </is>
      </c>
      <c r="B165" s="1" t="n">
        <v>44438</v>
      </c>
      <c r="C165" s="1" t="n">
        <v>45343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45604-2021</t>
        </is>
      </c>
      <c r="B166" s="1" t="n">
        <v>44440</v>
      </c>
      <c r="C166" s="1" t="n">
        <v>45343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45343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45343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45343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45343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45343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45343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45343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45343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45343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45343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45343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45343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45343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45343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45343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45343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45343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45343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45343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45343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45343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45343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45343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45343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45343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45343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45343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45343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45343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45343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45343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45343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45343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25180-2022</t>
        </is>
      </c>
      <c r="B200" s="1" t="n">
        <v>44729</v>
      </c>
      <c r="C200" s="1" t="n">
        <v>45343</v>
      </c>
      <c r="D200" t="inlineStr">
        <is>
          <t>DALARNAS LÄN</t>
        </is>
      </c>
      <c r="E200" t="inlineStr">
        <is>
          <t>AVESTA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45343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45343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45343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45343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45343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45343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45343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45343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45343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45343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45343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45343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45343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45343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45343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45343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45343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45343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45343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45343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45343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45343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45343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45343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45343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45343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45343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45343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45343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45343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45343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45343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45343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45343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45343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45343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45343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45343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45343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45343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45343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45343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45343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45343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45343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45343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45343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45343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45343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45343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45343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45343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45343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45343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45343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45343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45343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45343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45343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45343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45343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45343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45343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45343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45343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45343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12357-2023</t>
        </is>
      </c>
      <c r="B267" s="1" t="n">
        <v>44999</v>
      </c>
      <c r="C267" s="1" t="n">
        <v>45343</v>
      </c>
      <c r="D267" t="inlineStr">
        <is>
          <t>DALARNAS LÄN</t>
        </is>
      </c>
      <c r="E267" t="inlineStr">
        <is>
          <t>AVESTA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45343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45343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45343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45343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45343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45343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45343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45343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45343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45343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45343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45343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45343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45343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45343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45343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45343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45343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45343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45343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45343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45343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45343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45343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45343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45343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45343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45343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45343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45343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45343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45343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45343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45343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45343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45343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45343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31138-2023</t>
        </is>
      </c>
      <c r="B305" s="1" t="n">
        <v>45103</v>
      </c>
      <c r="C305" s="1" t="n">
        <v>45343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30612-2023</t>
        </is>
      </c>
      <c r="B306" s="1" t="n">
        <v>45112</v>
      </c>
      <c r="C306" s="1" t="n">
        <v>45343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32682-2023</t>
        </is>
      </c>
      <c r="B307" s="1" t="n">
        <v>45112</v>
      </c>
      <c r="C307" s="1" t="n">
        <v>45343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32684-2023</t>
        </is>
      </c>
      <c r="B308" s="1" t="n">
        <v>45112</v>
      </c>
      <c r="C308" s="1" t="n">
        <v>45343</v>
      </c>
      <c r="D308" t="inlineStr">
        <is>
          <t>DALARNAS LÄN</t>
        </is>
      </c>
      <c r="E308" t="inlineStr">
        <is>
          <t>AVESTA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32084-2023</t>
        </is>
      </c>
      <c r="B309" s="1" t="n">
        <v>45119</v>
      </c>
      <c r="C309" s="1" t="n">
        <v>45343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32768-2023</t>
        </is>
      </c>
      <c r="B310" s="1" t="n">
        <v>45123</v>
      </c>
      <c r="C310" s="1" t="n">
        <v>45343</v>
      </c>
      <c r="D310" t="inlineStr">
        <is>
          <t>DALARNAS LÄN</t>
        </is>
      </c>
      <c r="E310" t="inlineStr">
        <is>
          <t>AVESTA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32769-2023</t>
        </is>
      </c>
      <c r="B311" s="1" t="n">
        <v>45123</v>
      </c>
      <c r="C311" s="1" t="n">
        <v>45343</v>
      </c>
      <c r="D311" t="inlineStr">
        <is>
          <t>DALARNAS LÄN</t>
        </is>
      </c>
      <c r="E311" t="inlineStr">
        <is>
          <t>AVESTA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32771-2023</t>
        </is>
      </c>
      <c r="B312" s="1" t="n">
        <v>45123</v>
      </c>
      <c r="C312" s="1" t="n">
        <v>45343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32770-2023</t>
        </is>
      </c>
      <c r="B313" s="1" t="n">
        <v>45123</v>
      </c>
      <c r="C313" s="1" t="n">
        <v>45343</v>
      </c>
      <c r="D313" t="inlineStr">
        <is>
          <t>DALARNAS LÄN</t>
        </is>
      </c>
      <c r="E313" t="inlineStr">
        <is>
          <t>AVESTA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34186-2023</t>
        </is>
      </c>
      <c r="B314" s="1" t="n">
        <v>45138</v>
      </c>
      <c r="C314" s="1" t="n">
        <v>45343</v>
      </c>
      <c r="D314" t="inlineStr">
        <is>
          <t>DALARNAS LÄN</t>
        </is>
      </c>
      <c r="E314" t="inlineStr">
        <is>
          <t>AVESTA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34190-2023</t>
        </is>
      </c>
      <c r="B315" s="1" t="n">
        <v>45138</v>
      </c>
      <c r="C315" s="1" t="n">
        <v>45343</v>
      </c>
      <c r="D315" t="inlineStr">
        <is>
          <t>DALARNAS LÄN</t>
        </is>
      </c>
      <c r="E315" t="inlineStr">
        <is>
          <t>AVESTA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35078-2023</t>
        </is>
      </c>
      <c r="B316" s="1" t="n">
        <v>45142</v>
      </c>
      <c r="C316" s="1" t="n">
        <v>45343</v>
      </c>
      <c r="D316" t="inlineStr">
        <is>
          <t>DALARNAS LÄN</t>
        </is>
      </c>
      <c r="E316" t="inlineStr">
        <is>
          <t>AVESTA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38441-2023</t>
        </is>
      </c>
      <c r="B317" s="1" t="n">
        <v>45162</v>
      </c>
      <c r="C317" s="1" t="n">
        <v>45343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40873-2023</t>
        </is>
      </c>
      <c r="B318" s="1" t="n">
        <v>45173</v>
      </c>
      <c r="C318" s="1" t="n">
        <v>45343</v>
      </c>
      <c r="D318" t="inlineStr">
        <is>
          <t>DALARNAS LÄN</t>
        </is>
      </c>
      <c r="E318" t="inlineStr">
        <is>
          <t>AVESTA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41019-2023</t>
        </is>
      </c>
      <c r="B319" s="1" t="n">
        <v>45173</v>
      </c>
      <c r="C319" s="1" t="n">
        <v>45343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41018-2023</t>
        </is>
      </c>
      <c r="B320" s="1" t="n">
        <v>45173</v>
      </c>
      <c r="C320" s="1" t="n">
        <v>45343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41026-2023</t>
        </is>
      </c>
      <c r="B321" s="1" t="n">
        <v>45173</v>
      </c>
      <c r="C321" s="1" t="n">
        <v>45343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41611-2023</t>
        </is>
      </c>
      <c r="B322" s="1" t="n">
        <v>45175</v>
      </c>
      <c r="C322" s="1" t="n">
        <v>45343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41609-2023</t>
        </is>
      </c>
      <c r="B323" s="1" t="n">
        <v>45175</v>
      </c>
      <c r="C323" s="1" t="n">
        <v>45343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41461-2023</t>
        </is>
      </c>
      <c r="B324" s="1" t="n">
        <v>45175</v>
      </c>
      <c r="C324" s="1" t="n">
        <v>45343</v>
      </c>
      <c r="D324" t="inlineStr">
        <is>
          <t>DALARNAS LÄN</t>
        </is>
      </c>
      <c r="E324" t="inlineStr">
        <is>
          <t>AVESTA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45343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43738-2023</t>
        </is>
      </c>
      <c r="B326" s="1" t="n">
        <v>45187</v>
      </c>
      <c r="C326" s="1" t="n">
        <v>45343</v>
      </c>
      <c r="D326" t="inlineStr">
        <is>
          <t>DALARNAS LÄN</t>
        </is>
      </c>
      <c r="E326" t="inlineStr">
        <is>
          <t>AVESTA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45631-2023</t>
        </is>
      </c>
      <c r="B327" s="1" t="n">
        <v>45188</v>
      </c>
      <c r="C327" s="1" t="n">
        <v>45343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45343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44848-2023</t>
        </is>
      </c>
      <c r="B329" s="1" t="n">
        <v>45190</v>
      </c>
      <c r="C329" s="1" t="n">
        <v>45343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44843-2023</t>
        </is>
      </c>
      <c r="B330" s="1" t="n">
        <v>45190</v>
      </c>
      <c r="C330" s="1" t="n">
        <v>45343</v>
      </c>
      <c r="D330" t="inlineStr">
        <is>
          <t>DALARNAS LÄN</t>
        </is>
      </c>
      <c r="E330" t="inlineStr">
        <is>
          <t>AVESTA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45303-2023</t>
        </is>
      </c>
      <c r="B331" s="1" t="n">
        <v>45191</v>
      </c>
      <c r="C331" s="1" t="n">
        <v>45343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46315-2023</t>
        </is>
      </c>
      <c r="B332" s="1" t="n">
        <v>45191</v>
      </c>
      <c r="C332" s="1" t="n">
        <v>45343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46017-2023</t>
        </is>
      </c>
      <c r="B333" s="1" t="n">
        <v>45196</v>
      </c>
      <c r="C333" s="1" t="n">
        <v>45343</v>
      </c>
      <c r="D333" t="inlineStr">
        <is>
          <t>DALARNAS LÄN</t>
        </is>
      </c>
      <c r="E333" t="inlineStr">
        <is>
          <t>AVESTA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46253-2023</t>
        </is>
      </c>
      <c r="B334" s="1" t="n">
        <v>45197</v>
      </c>
      <c r="C334" s="1" t="n">
        <v>45343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46279-2023</t>
        </is>
      </c>
      <c r="B335" s="1" t="n">
        <v>45197</v>
      </c>
      <c r="C335" s="1" t="n">
        <v>45343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46252-2023</t>
        </is>
      </c>
      <c r="B336" s="1" t="n">
        <v>45197</v>
      </c>
      <c r="C336" s="1" t="n">
        <v>45343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46517-2023</t>
        </is>
      </c>
      <c r="B337" s="1" t="n">
        <v>45197</v>
      </c>
      <c r="C337" s="1" t="n">
        <v>45343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47402-2023</t>
        </is>
      </c>
      <c r="B338" s="1" t="n">
        <v>45202</v>
      </c>
      <c r="C338" s="1" t="n">
        <v>45343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48402-2023</t>
        </is>
      </c>
      <c r="B339" s="1" t="n">
        <v>45205</v>
      </c>
      <c r="C339" s="1" t="n">
        <v>45343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48401-2023</t>
        </is>
      </c>
      <c r="B340" s="1" t="n">
        <v>45205</v>
      </c>
      <c r="C340" s="1" t="n">
        <v>45343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48817-2023</t>
        </is>
      </c>
      <c r="B341" s="1" t="n">
        <v>45209</v>
      </c>
      <c r="C341" s="1" t="n">
        <v>45343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48822-2023</t>
        </is>
      </c>
      <c r="B342" s="1" t="n">
        <v>45209</v>
      </c>
      <c r="C342" s="1" t="n">
        <v>45343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48882-2023</t>
        </is>
      </c>
      <c r="B343" s="1" t="n">
        <v>45209</v>
      </c>
      <c r="C343" s="1" t="n">
        <v>45343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öst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</v>
      </c>
      <c r="C344" s="1" t="n">
        <v>45343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49433-2023</t>
        </is>
      </c>
      <c r="B345" s="1" t="n">
        <v>45211</v>
      </c>
      <c r="C345" s="1" t="n">
        <v>45343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49431-2023</t>
        </is>
      </c>
      <c r="B346" s="1" t="n">
        <v>45211</v>
      </c>
      <c r="C346" s="1" t="n">
        <v>45343</v>
      </c>
      <c r="D346" t="inlineStr">
        <is>
          <t>DALARNAS LÄN</t>
        </is>
      </c>
      <c r="E346" t="inlineStr">
        <is>
          <t>AVESTA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50197-2023</t>
        </is>
      </c>
      <c r="B347" s="1" t="n">
        <v>45215</v>
      </c>
      <c r="C347" s="1" t="n">
        <v>45343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52433-2023</t>
        </is>
      </c>
      <c r="B348" s="1" t="n">
        <v>45225</v>
      </c>
      <c r="C348" s="1" t="n">
        <v>45343</v>
      </c>
      <c r="D348" t="inlineStr">
        <is>
          <t>DALARNAS LÄN</t>
        </is>
      </c>
      <c r="E348" t="inlineStr">
        <is>
          <t>AVESTA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52831-2023</t>
        </is>
      </c>
      <c r="B349" s="1" t="n">
        <v>45226</v>
      </c>
      <c r="C349" s="1" t="n">
        <v>45343</v>
      </c>
      <c r="D349" t="inlineStr">
        <is>
          <t>DALARNAS LÄN</t>
        </is>
      </c>
      <c r="E349" t="inlineStr">
        <is>
          <t>AVESTA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53820-2023</t>
        </is>
      </c>
      <c r="B350" s="1" t="n">
        <v>45231</v>
      </c>
      <c r="C350" s="1" t="n">
        <v>45343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54137-2023</t>
        </is>
      </c>
      <c r="B351" s="1" t="n">
        <v>45232</v>
      </c>
      <c r="C351" s="1" t="n">
        <v>45343</v>
      </c>
      <c r="D351" t="inlineStr">
        <is>
          <t>DALARNAS LÄN</t>
        </is>
      </c>
      <c r="E351" t="inlineStr">
        <is>
          <t>AVESTA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55549-2023</t>
        </is>
      </c>
      <c r="B352" s="1" t="n">
        <v>45232</v>
      </c>
      <c r="C352" s="1" t="n">
        <v>45343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56026-2023</t>
        </is>
      </c>
      <c r="B353" s="1" t="n">
        <v>45233</v>
      </c>
      <c r="C353" s="1" t="n">
        <v>45343</v>
      </c>
      <c r="D353" t="inlineStr">
        <is>
          <t>DALARNAS LÄN</t>
        </is>
      </c>
      <c r="E353" t="inlineStr">
        <is>
          <t>AVESTA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54508-2023</t>
        </is>
      </c>
      <c r="B354" s="1" t="n">
        <v>45233</v>
      </c>
      <c r="C354" s="1" t="n">
        <v>45343</v>
      </c>
      <c r="D354" t="inlineStr">
        <is>
          <t>DALARNAS LÄN</t>
        </is>
      </c>
      <c r="E354" t="inlineStr">
        <is>
          <t>AVESTA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54502-2023</t>
        </is>
      </c>
      <c r="B355" s="1" t="n">
        <v>45233</v>
      </c>
      <c r="C355" s="1" t="n">
        <v>45343</v>
      </c>
      <c r="D355" t="inlineStr">
        <is>
          <t>DALARNAS LÄN</t>
        </is>
      </c>
      <c r="E355" t="inlineStr">
        <is>
          <t>AVESTA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55203-2023</t>
        </is>
      </c>
      <c r="B356" s="1" t="n">
        <v>45237</v>
      </c>
      <c r="C356" s="1" t="n">
        <v>45343</v>
      </c>
      <c r="D356" t="inlineStr">
        <is>
          <t>DALARNAS LÄN</t>
        </is>
      </c>
      <c r="E356" t="inlineStr">
        <is>
          <t>AVESTA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55384-2023</t>
        </is>
      </c>
      <c r="B357" s="1" t="n">
        <v>45238</v>
      </c>
      <c r="C357" s="1" t="n">
        <v>45343</v>
      </c>
      <c r="D357" t="inlineStr">
        <is>
          <t>DALARNAS LÄN</t>
        </is>
      </c>
      <c r="E357" t="inlineStr">
        <is>
          <t>AVESTA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56594-2023</t>
        </is>
      </c>
      <c r="B358" s="1" t="n">
        <v>45243</v>
      </c>
      <c r="C358" s="1" t="n">
        <v>45343</v>
      </c>
      <c r="D358" t="inlineStr">
        <is>
          <t>DALARNAS LÄN</t>
        </is>
      </c>
      <c r="E358" t="inlineStr">
        <is>
          <t>AVESTA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56571-2023</t>
        </is>
      </c>
      <c r="B359" s="1" t="n">
        <v>45243</v>
      </c>
      <c r="C359" s="1" t="n">
        <v>45343</v>
      </c>
      <c r="D359" t="inlineStr">
        <is>
          <t>DALARNAS LÄN</t>
        </is>
      </c>
      <c r="E359" t="inlineStr">
        <is>
          <t>AVESTA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58822-2023</t>
        </is>
      </c>
      <c r="B360" s="1" t="n">
        <v>45252</v>
      </c>
      <c r="C360" s="1" t="n">
        <v>45343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58812-2023</t>
        </is>
      </c>
      <c r="B361" s="1" t="n">
        <v>45252</v>
      </c>
      <c r="C361" s="1" t="n">
        <v>45343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58817-2023</t>
        </is>
      </c>
      <c r="B362" s="1" t="n">
        <v>45252</v>
      </c>
      <c r="C362" s="1" t="n">
        <v>45343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59172-2023</t>
        </is>
      </c>
      <c r="B363" s="1" t="n">
        <v>45253</v>
      </c>
      <c r="C363" s="1" t="n">
        <v>45343</v>
      </c>
      <c r="D363" t="inlineStr">
        <is>
          <t>DALARNAS LÄN</t>
        </is>
      </c>
      <c r="E363" t="inlineStr">
        <is>
          <t>AVESTA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59462-2023</t>
        </is>
      </c>
      <c r="B364" s="1" t="n">
        <v>45254</v>
      </c>
      <c r="C364" s="1" t="n">
        <v>45343</v>
      </c>
      <c r="D364" t="inlineStr">
        <is>
          <t>DALARNAS LÄN</t>
        </is>
      </c>
      <c r="E364" t="inlineStr">
        <is>
          <t>AVESTA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59932-2023</t>
        </is>
      </c>
      <c r="B365" s="1" t="n">
        <v>45257</v>
      </c>
      <c r="C365" s="1" t="n">
        <v>45343</v>
      </c>
      <c r="D365" t="inlineStr">
        <is>
          <t>DALARNAS LÄN</t>
        </is>
      </c>
      <c r="E365" t="inlineStr">
        <is>
          <t>AVESTA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60055-2023</t>
        </is>
      </c>
      <c r="B366" s="1" t="n">
        <v>45258</v>
      </c>
      <c r="C366" s="1" t="n">
        <v>45343</v>
      </c>
      <c r="D366" t="inlineStr">
        <is>
          <t>DALARNAS LÄN</t>
        </is>
      </c>
      <c r="E366" t="inlineStr">
        <is>
          <t>AVESTA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60254-2023</t>
        </is>
      </c>
      <c r="B367" s="1" t="n">
        <v>45258</v>
      </c>
      <c r="C367" s="1" t="n">
        <v>45343</v>
      </c>
      <c r="D367" t="inlineStr">
        <is>
          <t>DALARNAS LÄN</t>
        </is>
      </c>
      <c r="E367" t="inlineStr">
        <is>
          <t>AVESTA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60037-2023</t>
        </is>
      </c>
      <c r="B368" s="1" t="n">
        <v>45258</v>
      </c>
      <c r="C368" s="1" t="n">
        <v>45343</v>
      </c>
      <c r="D368" t="inlineStr">
        <is>
          <t>DALARNAS LÄN</t>
        </is>
      </c>
      <c r="E368" t="inlineStr">
        <is>
          <t>AVESTA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61560-2023</t>
        </is>
      </c>
      <c r="B369" s="1" t="n">
        <v>45261</v>
      </c>
      <c r="C369" s="1" t="n">
        <v>45343</v>
      </c>
      <c r="D369" t="inlineStr">
        <is>
          <t>DALARNAS LÄN</t>
        </is>
      </c>
      <c r="E369" t="inlineStr">
        <is>
          <t>AVESTA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61323-2023</t>
        </is>
      </c>
      <c r="B370" s="1" t="n">
        <v>45264</v>
      </c>
      <c r="C370" s="1" t="n">
        <v>45343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61460-2023</t>
        </is>
      </c>
      <c r="B371" s="1" t="n">
        <v>45264</v>
      </c>
      <c r="C371" s="1" t="n">
        <v>45343</v>
      </c>
      <c r="D371" t="inlineStr">
        <is>
          <t>DALARNAS LÄN</t>
        </is>
      </c>
      <c r="E371" t="inlineStr">
        <is>
          <t>AVESTA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61483-2023</t>
        </is>
      </c>
      <c r="B372" s="1" t="n">
        <v>45264</v>
      </c>
      <c r="C372" s="1" t="n">
        <v>45343</v>
      </c>
      <c r="D372" t="inlineStr">
        <is>
          <t>DALARNAS LÄN</t>
        </is>
      </c>
      <c r="E372" t="inlineStr">
        <is>
          <t>AVESTA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61657-2023</t>
        </is>
      </c>
      <c r="B373" s="1" t="n">
        <v>45265</v>
      </c>
      <c r="C373" s="1" t="n">
        <v>45343</v>
      </c>
      <c r="D373" t="inlineStr">
        <is>
          <t>DALARNAS LÄN</t>
        </is>
      </c>
      <c r="E373" t="inlineStr">
        <is>
          <t>AVESTA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61594-2023</t>
        </is>
      </c>
      <c r="B374" s="1" t="n">
        <v>45265</v>
      </c>
      <c r="C374" s="1" t="n">
        <v>45343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61585-2023</t>
        </is>
      </c>
      <c r="B375" s="1" t="n">
        <v>45265</v>
      </c>
      <c r="C375" s="1" t="n">
        <v>45343</v>
      </c>
      <c r="D375" t="inlineStr">
        <is>
          <t>DALARNAS LÄN</t>
        </is>
      </c>
      <c r="E375" t="inlineStr">
        <is>
          <t>AVESTA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62022-2023</t>
        </is>
      </c>
      <c r="B376" s="1" t="n">
        <v>45266</v>
      </c>
      <c r="C376" s="1" t="n">
        <v>45343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62103-2023</t>
        </is>
      </c>
      <c r="B377" s="1" t="n">
        <v>45266</v>
      </c>
      <c r="C377" s="1" t="n">
        <v>45343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62092-2023</t>
        </is>
      </c>
      <c r="B378" s="1" t="n">
        <v>45266</v>
      </c>
      <c r="C378" s="1" t="n">
        <v>45343</v>
      </c>
      <c r="D378" t="inlineStr">
        <is>
          <t>DALARNAS LÄN</t>
        </is>
      </c>
      <c r="E378" t="inlineStr">
        <is>
          <t>AVESTA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62040-2023</t>
        </is>
      </c>
      <c r="B379" s="1" t="n">
        <v>45266</v>
      </c>
      <c r="C379" s="1" t="n">
        <v>45343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62130-2023</t>
        </is>
      </c>
      <c r="B380" s="1" t="n">
        <v>45267</v>
      </c>
      <c r="C380" s="1" t="n">
        <v>45343</v>
      </c>
      <c r="D380" t="inlineStr">
        <is>
          <t>DALARNAS LÄN</t>
        </is>
      </c>
      <c r="E380" t="inlineStr">
        <is>
          <t>AVESTA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62292-2023</t>
        </is>
      </c>
      <c r="B381" s="1" t="n">
        <v>45267</v>
      </c>
      <c r="C381" s="1" t="n">
        <v>45343</v>
      </c>
      <c r="D381" t="inlineStr">
        <is>
          <t>DALARNAS LÄN</t>
        </is>
      </c>
      <c r="E381" t="inlineStr">
        <is>
          <t>AVESTA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62447-2023</t>
        </is>
      </c>
      <c r="B382" s="1" t="n">
        <v>45268</v>
      </c>
      <c r="C382" s="1" t="n">
        <v>45343</v>
      </c>
      <c r="D382" t="inlineStr">
        <is>
          <t>DALARNAS LÄN</t>
        </is>
      </c>
      <c r="E382" t="inlineStr">
        <is>
          <t>AVESTA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62566-2023</t>
        </is>
      </c>
      <c r="B383" s="1" t="n">
        <v>45269</v>
      </c>
      <c r="C383" s="1" t="n">
        <v>45343</v>
      </c>
      <c r="D383" t="inlineStr">
        <is>
          <t>DALARNAS LÄN</t>
        </is>
      </c>
      <c r="E383" t="inlineStr">
        <is>
          <t>AVESTA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62565-2023</t>
        </is>
      </c>
      <c r="B384" s="1" t="n">
        <v>45269</v>
      </c>
      <c r="C384" s="1" t="n">
        <v>45343</v>
      </c>
      <c r="D384" t="inlineStr">
        <is>
          <t>DALARNAS LÄN</t>
        </is>
      </c>
      <c r="E384" t="inlineStr">
        <is>
          <t>AVESTA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62616-2023</t>
        </is>
      </c>
      <c r="B385" s="1" t="n">
        <v>45271</v>
      </c>
      <c r="C385" s="1" t="n">
        <v>45343</v>
      </c>
      <c r="D385" t="inlineStr">
        <is>
          <t>DALARNAS LÄN</t>
        </is>
      </c>
      <c r="E385" t="inlineStr">
        <is>
          <t>AVESTA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63126-2023</t>
        </is>
      </c>
      <c r="B386" s="1" t="n">
        <v>45273</v>
      </c>
      <c r="C386" s="1" t="n">
        <v>45343</v>
      </c>
      <c r="D386" t="inlineStr">
        <is>
          <t>DALARNAS LÄN</t>
        </is>
      </c>
      <c r="E386" t="inlineStr">
        <is>
          <t>AVESTA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63120-2023</t>
        </is>
      </c>
      <c r="B387" s="1" t="n">
        <v>45273</v>
      </c>
      <c r="C387" s="1" t="n">
        <v>45343</v>
      </c>
      <c r="D387" t="inlineStr">
        <is>
          <t>DALARNAS LÄN</t>
        </is>
      </c>
      <c r="E387" t="inlineStr">
        <is>
          <t>AVESTA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63455-2023</t>
        </is>
      </c>
      <c r="B388" s="1" t="n">
        <v>45273</v>
      </c>
      <c r="C388" s="1" t="n">
        <v>45343</v>
      </c>
      <c r="D388" t="inlineStr">
        <is>
          <t>DALARNAS LÄN</t>
        </is>
      </c>
      <c r="E388" t="inlineStr">
        <is>
          <t>AVESTA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45343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63434-2023</t>
        </is>
      </c>
      <c r="B390" s="1" t="n">
        <v>45274</v>
      </c>
      <c r="C390" s="1" t="n">
        <v>45343</v>
      </c>
      <c r="D390" t="inlineStr">
        <is>
          <t>DALARNAS LÄN</t>
        </is>
      </c>
      <c r="E390" t="inlineStr">
        <is>
          <t>AVESTA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64051-2023</t>
        </is>
      </c>
      <c r="B391" s="1" t="n">
        <v>45279</v>
      </c>
      <c r="C391" s="1" t="n">
        <v>45343</v>
      </c>
      <c r="D391" t="inlineStr">
        <is>
          <t>DALARNAS LÄN</t>
        </is>
      </c>
      <c r="E391" t="inlineStr">
        <is>
          <t>AVESTA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64055-2023</t>
        </is>
      </c>
      <c r="B392" s="1" t="n">
        <v>45279</v>
      </c>
      <c r="C392" s="1" t="n">
        <v>45343</v>
      </c>
      <c r="D392" t="inlineStr">
        <is>
          <t>DALARNAS LÄN</t>
        </is>
      </c>
      <c r="E392" t="inlineStr">
        <is>
          <t>AVESTA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64087-2023</t>
        </is>
      </c>
      <c r="B393" s="1" t="n">
        <v>45279</v>
      </c>
      <c r="C393" s="1" t="n">
        <v>45343</v>
      </c>
      <c r="D393" t="inlineStr">
        <is>
          <t>DALARNAS LÄN</t>
        </is>
      </c>
      <c r="E393" t="inlineStr">
        <is>
          <t>AVESTA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64085-2023</t>
        </is>
      </c>
      <c r="B394" s="1" t="n">
        <v>45279</v>
      </c>
      <c r="C394" s="1" t="n">
        <v>45343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64561-2023</t>
        </is>
      </c>
      <c r="B395" s="1" t="n">
        <v>45281</v>
      </c>
      <c r="C395" s="1" t="n">
        <v>45343</v>
      </c>
      <c r="D395" t="inlineStr">
        <is>
          <t>DALARNAS LÄN</t>
        </is>
      </c>
      <c r="E395" t="inlineStr">
        <is>
          <t>AVESTA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64600-2023</t>
        </is>
      </c>
      <c r="B396" s="1" t="n">
        <v>45281</v>
      </c>
      <c r="C396" s="1" t="n">
        <v>45343</v>
      </c>
      <c r="D396" t="inlineStr">
        <is>
          <t>DALARNAS LÄN</t>
        </is>
      </c>
      <c r="E396" t="inlineStr">
        <is>
          <t>AVESTA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64708-2023</t>
        </is>
      </c>
      <c r="B397" s="1" t="n">
        <v>45281</v>
      </c>
      <c r="C397" s="1" t="n">
        <v>45343</v>
      </c>
      <c r="D397" t="inlineStr">
        <is>
          <t>DALARNAS LÄN</t>
        </is>
      </c>
      <c r="E397" t="inlineStr">
        <is>
          <t>AVESTA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758-2024</t>
        </is>
      </c>
      <c r="B398" s="1" t="n">
        <v>45300</v>
      </c>
      <c r="C398" s="1" t="n">
        <v>45343</v>
      </c>
      <c r="D398" t="inlineStr">
        <is>
          <t>DALARNAS LÄN</t>
        </is>
      </c>
      <c r="E398" t="inlineStr">
        <is>
          <t>AVESTA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751-2024</t>
        </is>
      </c>
      <c r="B399" s="1" t="n">
        <v>45300</v>
      </c>
      <c r="C399" s="1" t="n">
        <v>45343</v>
      </c>
      <c r="D399" t="inlineStr">
        <is>
          <t>DALARNAS LÄN</t>
        </is>
      </c>
      <c r="E399" t="inlineStr">
        <is>
          <t>AVESTA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1132-2024</t>
        </is>
      </c>
      <c r="B400" s="1" t="n">
        <v>45302</v>
      </c>
      <c r="C400" s="1" t="n">
        <v>45343</v>
      </c>
      <c r="D400" t="inlineStr">
        <is>
          <t>DALARNAS LÄN</t>
        </is>
      </c>
      <c r="E400" t="inlineStr">
        <is>
          <t>AVESTA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1192-2024</t>
        </is>
      </c>
      <c r="B401" s="1" t="n">
        <v>45302</v>
      </c>
      <c r="C401" s="1" t="n">
        <v>45343</v>
      </c>
      <c r="D401" t="inlineStr">
        <is>
          <t>DALARNAS LÄN</t>
        </is>
      </c>
      <c r="E401" t="inlineStr">
        <is>
          <t>AVESTA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2547-2024</t>
        </is>
      </c>
      <c r="B402" s="1" t="n">
        <v>45313</v>
      </c>
      <c r="C402" s="1" t="n">
        <v>45343</v>
      </c>
      <c r="D402" t="inlineStr">
        <is>
          <t>DALARNAS LÄN</t>
        </is>
      </c>
      <c r="E402" t="inlineStr">
        <is>
          <t>AVESTA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2710-2024</t>
        </is>
      </c>
      <c r="B403" s="1" t="n">
        <v>45314</v>
      </c>
      <c r="C403" s="1" t="n">
        <v>45343</v>
      </c>
      <c r="D403" t="inlineStr">
        <is>
          <t>DALARNAS LÄN</t>
        </is>
      </c>
      <c r="E403" t="inlineStr">
        <is>
          <t>AVESTA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3195-2024</t>
        </is>
      </c>
      <c r="B404" s="1" t="n">
        <v>45316</v>
      </c>
      <c r="C404" s="1" t="n">
        <v>45343</v>
      </c>
      <c r="D404" t="inlineStr">
        <is>
          <t>DALARNAS LÄN</t>
        </is>
      </c>
      <c r="E404" t="inlineStr">
        <is>
          <t>AVESTA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3194-2024</t>
        </is>
      </c>
      <c r="B405" s="1" t="n">
        <v>45316</v>
      </c>
      <c r="C405" s="1" t="n">
        <v>45343</v>
      </c>
      <c r="D405" t="inlineStr">
        <is>
          <t>DALARNAS LÄN</t>
        </is>
      </c>
      <c r="E405" t="inlineStr">
        <is>
          <t>AVESTA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3690-2024</t>
        </is>
      </c>
      <c r="B406" s="1" t="n">
        <v>45321</v>
      </c>
      <c r="C406" s="1" t="n">
        <v>45343</v>
      </c>
      <c r="D406" t="inlineStr">
        <is>
          <t>DALARNAS LÄN</t>
        </is>
      </c>
      <c r="E406" t="inlineStr">
        <is>
          <t>AVESTA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3688-2024</t>
        </is>
      </c>
      <c r="B407" s="1" t="n">
        <v>45321</v>
      </c>
      <c r="C407" s="1" t="n">
        <v>45343</v>
      </c>
      <c r="D407" t="inlineStr">
        <is>
          <t>DALARNAS LÄN</t>
        </is>
      </c>
      <c r="E407" t="inlineStr">
        <is>
          <t>AVESTA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3870-2024</t>
        </is>
      </c>
      <c r="B408" s="1" t="n">
        <v>45322</v>
      </c>
      <c r="C408" s="1" t="n">
        <v>45343</v>
      </c>
      <c r="D408" t="inlineStr">
        <is>
          <t>DALARNAS LÄN</t>
        </is>
      </c>
      <c r="E408" t="inlineStr">
        <is>
          <t>AVESTA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4187-2024</t>
        </is>
      </c>
      <c r="B409" s="1" t="n">
        <v>45324</v>
      </c>
      <c r="C409" s="1" t="n">
        <v>45343</v>
      </c>
      <c r="D409" t="inlineStr">
        <is>
          <t>DALARNAS LÄN</t>
        </is>
      </c>
      <c r="E409" t="inlineStr">
        <is>
          <t>AVESTA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4747-2024</t>
        </is>
      </c>
      <c r="B410" s="1" t="n">
        <v>45328</v>
      </c>
      <c r="C410" s="1" t="n">
        <v>45343</v>
      </c>
      <c r="D410" t="inlineStr">
        <is>
          <t>DALARNAS LÄN</t>
        </is>
      </c>
      <c r="E410" t="inlineStr">
        <is>
          <t>AVESTA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5186-2024</t>
        </is>
      </c>
      <c r="B411" s="1" t="n">
        <v>45330</v>
      </c>
      <c r="C411" s="1" t="n">
        <v>45343</v>
      </c>
      <c r="D411" t="inlineStr">
        <is>
          <t>DALARNAS LÄN</t>
        </is>
      </c>
      <c r="E411" t="inlineStr">
        <is>
          <t>AVESTA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6314-2024</t>
        </is>
      </c>
      <c r="B412" s="1" t="n">
        <v>45338</v>
      </c>
      <c r="C412" s="1" t="n">
        <v>45343</v>
      </c>
      <c r="D412" t="inlineStr">
        <is>
          <t>DALARNAS LÄN</t>
        </is>
      </c>
      <c r="E412" t="inlineStr">
        <is>
          <t>AVESTA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6540-2024</t>
        </is>
      </c>
      <c r="B413" s="1" t="n">
        <v>45341</v>
      </c>
      <c r="C413" s="1" t="n">
        <v>45343</v>
      </c>
      <c r="D413" t="inlineStr">
        <is>
          <t>DALARNAS LÄN</t>
        </is>
      </c>
      <c r="E413" t="inlineStr">
        <is>
          <t>AVESTA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2024-02-21T06:59:37Z</dcterms:created>
  <dcterms:modified xmlns:dcterms="http://purl.org/dc/terms/" xmlns:xsi="http://www.w3.org/2001/XMLSchema-instance" xsi:type="dcterms:W3CDTF">2024-02-21T06:59:37Z</dcterms:modified>
</cp:coreProperties>
</file>