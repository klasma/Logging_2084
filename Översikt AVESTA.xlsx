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46303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46303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46303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46303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46303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46303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46303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56085-2023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45240</v>
      </c>
      <c r="E11" s="1" t="n">
        <v>46303</v>
      </c>
      <c r="F11" t="inlineStr">
        <is>
          <t>DALARNAS LÄN</t>
        </is>
      </c>
      <c r="G11" t="inlineStr">
        <is>
          <t>AVESTA</t>
        </is>
      </c>
      <c r="I11" t="n">
        <v>2.7</v>
      </c>
      <c r="J11" t="n">
        <v>1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Strandskinnlav
Rostfläck
Hårklomossa</t>
        </is>
      </c>
      <c r="W11">
        <f>HYPERLINK("https://klasma.github.io/Logging_2084/artfynd/A 56085-2023 artfynd.xlsx", "A 56085-2023")</f>
        <v/>
      </c>
      <c r="X11">
        <f>HYPERLINK("https://klasma.github.io/Logging_2084/kartor/A 56085-2023 karta.png", "A 56085-2023")</f>
        <v/>
      </c>
      <c r="Y11">
        <f>HYPERLINK("https://klasma.github.io/Logging_2084/kartor_geotiff/A 56085-2023 georefererad karta.tif", "A 56085-2023")</f>
        <v/>
      </c>
      <c r="AA11">
        <f>HYPERLINK("https://klasma.github.io/Logging_2084/klagomål/A 56085-2023 FSC-klagomål.docx", "A 56085-2023")</f>
        <v/>
      </c>
      <c r="AB11">
        <f>HYPERLINK("https://klasma.github.io/Logging_2084/klagomålsmail/A 56085-2023 FSC-klagomål mail.docx", "A 56085-2023")</f>
        <v/>
      </c>
      <c r="AC11">
        <f>HYPERLINK("https://klasma.github.io/Logging_2084/tillsyn/A 56085-2023 tillsynsbegäran.docx", "A 56085-2023")</f>
        <v/>
      </c>
      <c r="AD11">
        <f>HYPERLINK("https://klasma.github.io/Logging_2084/tillsynsmail/A 56085-2023 tillsynsbegäran mail.docx", "A 56085-2023")</f>
        <v/>
      </c>
    </row>
    <row r="12" ht="15" customHeight="1">
      <c r="A12" t="inlineStr">
        <is>
          <t>A 59921-2023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45257</v>
      </c>
      <c r="E12" s="1" t="n">
        <v>46303</v>
      </c>
      <c r="F12" t="inlineStr">
        <is>
          <t>DALARNAS LÄN</t>
        </is>
      </c>
      <c r="G12" t="inlineStr">
        <is>
          <t>AVESTA</t>
        </is>
      </c>
      <c r="I12" t="n">
        <v>0.4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Gulsparv
Talltita
Kungsfågel</t>
        </is>
      </c>
      <c r="W12">
        <f>HYPERLINK("https://klasma.github.io/Logging_2084/artfynd/A 59921-2023 artfynd.xlsx", "A 59921-2023")</f>
        <v/>
      </c>
      <c r="X12">
        <f>HYPERLINK("https://klasma.github.io/Logging_2084/kartor/A 59921-2023 karta.png", "A 59921-2023")</f>
        <v/>
      </c>
      <c r="Y12">
        <f>HYPERLINK("https://klasma.github.io/Logging_2084/kartor_geotiff/A 59921-2023 georefererad karta.tif", "A 59921-2023")</f>
        <v/>
      </c>
      <c r="AA12">
        <f>HYPERLINK("https://klasma.github.io/Logging_2084/klagomål/A 59921-2023 FSC-klagomål.docx", "A 59921-2023")</f>
        <v/>
      </c>
      <c r="AB12">
        <f>HYPERLINK("https://klasma.github.io/Logging_2084/klagomålsmail/A 59921-2023 FSC-klagomål mail.docx", "A 59921-2023")</f>
        <v/>
      </c>
      <c r="AC12">
        <f>HYPERLINK("https://klasma.github.io/Logging_2084/tillsyn/A 59921-2023 tillsynsbegäran.docx", "A 59921-2023")</f>
        <v/>
      </c>
      <c r="AD12">
        <f>HYPERLINK("https://klasma.github.io/Logging_2084/tillsynsmail/A 59921-2023 tillsynsbegäran mail.docx", "A 59921-2023")</f>
        <v/>
      </c>
      <c r="AE12">
        <f>HYPERLINK("https://klasma.github.io/Logging_2084/fåglar/A 59921-2023 prioriterade fågelarter.docx", "A 59921-2023")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46303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1688-2022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44574</v>
      </c>
      <c r="E14" s="1" t="n">
        <v>46303</v>
      </c>
      <c r="F14" t="inlineStr">
        <is>
          <t>DALARNAS LÄN</t>
        </is>
      </c>
      <c r="G14" t="inlineStr">
        <is>
          <t>AVESTA</t>
        </is>
      </c>
      <c r="I14" t="n">
        <v>10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22</v>
      </c>
      <c r="U14" t="n">
        <v>22</v>
      </c>
      <c r="V14" s="2" t="inlineStr">
        <is>
          <t>Knärot
Spillkråka</t>
        </is>
      </c>
      <c r="W14">
        <f>HYPERLINK("https://klasma.github.io/Logging_2084/artfynd/A 1688-2022 artfynd.xlsx", "A 1688-2022")</f>
        <v/>
      </c>
      <c r="X14">
        <f>HYPERLINK("https://klasma.github.io/Logging_2084/kartor/A 1688-2022 karta.png", "A 1688-2022")</f>
        <v/>
      </c>
      <c r="Y14">
        <f>HYPERLINK("https://klasma.github.io/Logging_2084/kartor_geotiff/A 1688-2022 georefererad karta.tif", "A 1688-2022")</f>
        <v/>
      </c>
      <c r="Z14">
        <f>HYPERLINK("https://klasma.github.io/Logging_2084/knärot/A 1688-2022 karta knärot.png", "A 1688-2022")</f>
        <v/>
      </c>
      <c r="AA14">
        <f>HYPERLINK("https://klasma.github.io/Logging_2084/klagomål/A 1688-2022 FSC-klagomål.docx", "A 1688-2022")</f>
        <v/>
      </c>
      <c r="AB14">
        <f>HYPERLINK("https://klasma.github.io/Logging_2084/klagomålsmail/A 1688-2022 FSC-klagomål mail.docx", "A 1688-2022")</f>
        <v/>
      </c>
      <c r="AC14">
        <f>HYPERLINK("https://klasma.github.io/Logging_2084/tillsyn/A 1688-2022 tillsynsbegäran.docx", "A 1688-2022")</f>
        <v/>
      </c>
      <c r="AD14">
        <f>HYPERLINK("https://klasma.github.io/Logging_2084/tillsynsmail/A 1688-2022 tillsynsbegäran mail.docx", "A 1688-2022")</f>
        <v/>
      </c>
      <c r="AE14">
        <f>HYPERLINK("https://klasma.github.io/Logging_2084/fåglar/A 1688-2022 prioriterade fågelarter.docx", "A 1688-2022")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46303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46303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46303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46303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46303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46303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43508-2024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45569</v>
      </c>
      <c r="E21" s="1" t="n">
        <v>46303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HYPERLINK("https://klasma.github.io/Logging_2084/artfynd/A 43508-2024 artfynd.xlsx", "A 43508-2024")</f>
        <v/>
      </c>
      <c r="X21">
        <f>HYPERLINK("https://klasma.github.io/Logging_2084/kartor/A 43508-2024 karta.png", "A 43508-2024")</f>
        <v/>
      </c>
      <c r="Y21">
        <f>HYPERLINK("https://klasma.github.io/Logging_2084/kartor_geotiff/A 43508-2024 georefererad karta.tif", "A 43508-2024")</f>
        <v/>
      </c>
      <c r="AA21">
        <f>HYPERLINK("https://klasma.github.io/Logging_2084/klagomål/A 43508-2024 FSC-klagomål.docx", "A 43508-2024")</f>
        <v/>
      </c>
      <c r="AB21">
        <f>HYPERLINK("https://klasma.github.io/Logging_2084/klagomålsmail/A 43508-2024 FSC-klagomål mail.docx", "A 43508-2024")</f>
        <v/>
      </c>
      <c r="AC21">
        <f>HYPERLINK("https://klasma.github.io/Logging_2084/tillsyn/A 43508-2024 tillsynsbegäran.docx", "A 43508-2024")</f>
        <v/>
      </c>
      <c r="AD21">
        <f>HYPERLINK("https://klasma.github.io/Logging_2084/tillsynsmail/A 43508-2024 tillsynsbegäran mail.docx", "A 43508-2024")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46303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46303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46303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13553-2025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45736</v>
      </c>
      <c r="E25" s="1" t="n">
        <v>46303</v>
      </c>
      <c r="F25" t="inlineStr">
        <is>
          <t>DALARNAS LÄN</t>
        </is>
      </c>
      <c r="G25" t="inlineStr">
        <is>
          <t>AVESTA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HYPERLINK("https://klasma.github.io/Logging_2084/artfynd/A 13553-2025 artfynd.xlsx", "A 13553-2025")</f>
        <v/>
      </c>
      <c r="X25">
        <f>HYPERLINK("https://klasma.github.io/Logging_2084/kartor/A 13553-2025 karta.png", "A 13553-2025")</f>
        <v/>
      </c>
      <c r="Y25">
        <f>HYPERLINK("https://klasma.github.io/Logging_2084/kartor_geotiff/A 13553-2025 georefererad karta.tif", "A 13553-2025")</f>
        <v/>
      </c>
      <c r="AA25">
        <f>HYPERLINK("https://klasma.github.io/Logging_2084/klagomål/A 13553-2025 FSC-klagomål.docx", "A 13553-2025")</f>
        <v/>
      </c>
      <c r="AB25">
        <f>HYPERLINK("https://klasma.github.io/Logging_2084/klagomålsmail/A 13553-2025 FSC-klagomål mail.docx", "A 13553-2025")</f>
        <v/>
      </c>
      <c r="AC25">
        <f>HYPERLINK("https://klasma.github.io/Logging_2084/tillsyn/A 13553-2025 tillsynsbegäran.docx", "A 13553-2025")</f>
        <v/>
      </c>
      <c r="AD25">
        <f>HYPERLINK("https://klasma.github.io/Logging_2084/tillsynsmail/A 13553-2025 tillsynsbegäran mail.docx", "A 13553-2025")</f>
        <v/>
      </c>
    </row>
    <row r="26" ht="15" customHeight="1">
      <c r="A26" t="inlineStr">
        <is>
          <t>A 39253-2025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46303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39253-2025 artfynd.xlsx", "A 39253-2025")</f>
        <v/>
      </c>
      <c r="X26">
        <f>HYPERLINK("https://klasma.github.io/Logging_2084/kartor/A 39253-2025 karta.png", "A 39253-2025")</f>
        <v/>
      </c>
      <c r="Y26">
        <f>HYPERLINK("https://klasma.github.io/Logging_2084/kartor_geotiff/A 39253-2025 georefererad karta.tif", "A 39253-2025")</f>
        <v/>
      </c>
      <c r="AA26">
        <f>HYPERLINK("https://klasma.github.io/Logging_2084/klagomål/A 39253-2025 FSC-klagomål.docx", "A 39253-2025")</f>
        <v/>
      </c>
      <c r="AB26">
        <f>HYPERLINK("https://klasma.github.io/Logging_2084/klagomålsmail/A 39253-2025 FSC-klagomål mail.docx", "A 39253-2025")</f>
        <v/>
      </c>
      <c r="AC26">
        <f>HYPERLINK("https://klasma.github.io/Logging_2084/tillsyn/A 39253-2025 tillsynsbegäran.docx", "A 39253-2025")</f>
        <v/>
      </c>
      <c r="AD26">
        <f>HYPERLINK("https://klasma.github.io/Logging_2084/tillsynsmail/A 39253-2025 tillsynsbegäran mail.docx", "A 39253-2025")</f>
        <v/>
      </c>
    </row>
    <row r="27" ht="15" customHeight="1">
      <c r="A27" t="inlineStr">
        <is>
          <t>A 44853-2023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46303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Knytlingsäckmal</t>
        </is>
      </c>
      <c r="W27">
        <f>HYPERLINK("https://klasma.github.io/Logging_2084/artfynd/A 44853-2023 artfynd.xlsx", "A 44853-2023")</f>
        <v/>
      </c>
      <c r="X27">
        <f>HYPERLINK("https://klasma.github.io/Logging_2084/kartor/A 44853-2023 karta.png", "A 44853-2023")</f>
        <v/>
      </c>
      <c r="Y27">
        <f>HYPERLINK("https://klasma.github.io/Logging_2084/kartor_geotiff/A 44853-2023 georefererad karta.tif", "A 44853-2023")</f>
        <v/>
      </c>
      <c r="AA27">
        <f>HYPERLINK("https://klasma.github.io/Logging_2084/klagomål/A 44853-2023 FSC-klagomål.docx", "A 44853-2023")</f>
        <v/>
      </c>
      <c r="AB27">
        <f>HYPERLINK("https://klasma.github.io/Logging_2084/klagomålsmail/A 44853-2023 FSC-klagomål mail.docx", "A 44853-2023")</f>
        <v/>
      </c>
      <c r="AC27">
        <f>HYPERLINK("https://klasma.github.io/Logging_2084/tillsyn/A 44853-2023 tillsynsbegäran.docx", "A 44853-2023")</f>
        <v/>
      </c>
      <c r="AD27">
        <f>HYPERLINK("https://klasma.github.io/Logging_2084/tillsynsmail/A 44853-2023 tillsynsbegäran mail.docx", "A 44853-2023")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46303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56571-2023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45243</v>
      </c>
      <c r="E29" s="1" t="n">
        <v>46303</v>
      </c>
      <c r="F29" t="inlineStr">
        <is>
          <t>DALARNAS LÄN</t>
        </is>
      </c>
      <c r="G29" t="inlineStr">
        <is>
          <t>AVESTA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Gråblå skinnlav</t>
        </is>
      </c>
      <c r="W29">
        <f>HYPERLINK("https://klasma.github.io/Logging_2084/artfynd/A 56571-2023 artfynd.xlsx", "A 56571-2023")</f>
        <v/>
      </c>
      <c r="X29">
        <f>HYPERLINK("https://klasma.github.io/Logging_2084/kartor/A 56571-2023 karta.png", "A 56571-2023")</f>
        <v/>
      </c>
      <c r="Y29">
        <f>HYPERLINK("https://klasma.github.io/Logging_2084/kartor_geotiff/A 56571-2023 georefererad karta.tif", "A 56571-2023")</f>
        <v/>
      </c>
      <c r="AA29">
        <f>HYPERLINK("https://klasma.github.io/Logging_2084/klagomål/A 56571-2023 FSC-klagomål.docx", "A 56571-2023")</f>
        <v/>
      </c>
      <c r="AB29">
        <f>HYPERLINK("https://klasma.github.io/Logging_2084/klagomålsmail/A 56571-2023 FSC-klagomål mail.docx", "A 56571-2023")</f>
        <v/>
      </c>
      <c r="AC29">
        <f>HYPERLINK("https://klasma.github.io/Logging_2084/tillsyn/A 56571-2023 tillsynsbegäran.docx", "A 56571-2023")</f>
        <v/>
      </c>
      <c r="AD29">
        <f>HYPERLINK("https://klasma.github.io/Logging_2084/tillsynsmail/A 56571-2023 tillsynsbegäran mail.docx", "A 56571-2023")</f>
        <v/>
      </c>
    </row>
    <row r="30" ht="15" customHeight="1">
      <c r="A30" t="inlineStr">
        <is>
          <t>A 1695-2022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44574</v>
      </c>
      <c r="E30" s="1" t="n">
        <v>46303</v>
      </c>
      <c r="F30" t="inlineStr">
        <is>
          <t>DALARNAS LÄN</t>
        </is>
      </c>
      <c r="G30" t="inlineStr">
        <is>
          <t>AVESTA</t>
        </is>
      </c>
      <c r="I30" t="n">
        <v>6.5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27</v>
      </c>
      <c r="U30" t="n">
        <v>27</v>
      </c>
      <c r="V30" s="2" t="inlineStr">
        <is>
          <t>Knärot</t>
        </is>
      </c>
      <c r="W30">
        <f>HYPERLINK("https://klasma.github.io/Logging_2084/artfynd/A 1695-2022 artfynd.xlsx", "A 1695-2022")</f>
        <v/>
      </c>
      <c r="X30">
        <f>HYPERLINK("https://klasma.github.io/Logging_2084/kartor/A 1695-2022 karta.png", "A 1695-2022")</f>
        <v/>
      </c>
      <c r="Y30">
        <f>HYPERLINK("https://klasma.github.io/Logging_2084/kartor_geotiff/A 1695-2022 georefererad karta.tif", "A 1695-2022")</f>
        <v/>
      </c>
      <c r="Z30">
        <f>HYPERLINK("https://klasma.github.io/Logging_2084/knärot/A 1695-2022 karta knärot.png", "A 1695-2022")</f>
        <v/>
      </c>
      <c r="AA30">
        <f>HYPERLINK("https://klasma.github.io/Logging_2084/klagomål/A 1695-2022 FSC-klagomål.docx", "A 1695-2022")</f>
        <v/>
      </c>
      <c r="AB30">
        <f>HYPERLINK("https://klasma.github.io/Logging_2084/klagomålsmail/A 1695-2022 FSC-klagomål mail.docx", "A 1695-2022")</f>
        <v/>
      </c>
      <c r="AC30">
        <f>HYPERLINK("https://klasma.github.io/Logging_2084/tillsyn/A 1695-2022 tillsynsbegäran.docx", "A 1695-2022")</f>
        <v/>
      </c>
      <c r="AD30">
        <f>HYPERLINK("https://klasma.github.io/Logging_2084/tillsynsmail/A 1695-2022 tillsynsbegäran mail.docx", "A 1695-2022")</f>
        <v/>
      </c>
    </row>
    <row r="31" ht="15" customHeight="1">
      <c r="A31" t="inlineStr">
        <is>
          <t>A 56786-2024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45628</v>
      </c>
      <c r="E31" s="1" t="n">
        <v>46303</v>
      </c>
      <c r="F31" t="inlineStr">
        <is>
          <t>DALARNAS LÄN</t>
        </is>
      </c>
      <c r="G31" t="inlineStr">
        <is>
          <t>AVESTA</t>
        </is>
      </c>
      <c r="I31" t="n">
        <v>4.7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Knärot</t>
        </is>
      </c>
      <c r="W31">
        <f>HYPERLINK("https://klasma.github.io/Logging_2084/artfynd/A 56786-2024 artfynd.xlsx", "A 56786-2024")</f>
        <v/>
      </c>
      <c r="X31">
        <f>HYPERLINK("https://klasma.github.io/Logging_2084/kartor/A 56786-2024 karta.png", "A 56786-2024")</f>
        <v/>
      </c>
      <c r="Y31">
        <f>HYPERLINK("https://klasma.github.io/Logging_2084/kartor_geotiff/A 56786-2024 georefererad karta.tif", "A 56786-2024")</f>
        <v/>
      </c>
      <c r="Z31">
        <f>HYPERLINK("https://klasma.github.io/Logging_2084/knärot/A 56786-2024 karta knärot.png", "A 56786-2024")</f>
        <v/>
      </c>
      <c r="AA31">
        <f>HYPERLINK("https://klasma.github.io/Logging_2084/klagomål/A 56786-2024 FSC-klagomål.docx", "A 56786-2024")</f>
        <v/>
      </c>
      <c r="AB31">
        <f>HYPERLINK("https://klasma.github.io/Logging_2084/klagomålsmail/A 56786-2024 FSC-klagomål mail.docx", "A 56786-2024")</f>
        <v/>
      </c>
      <c r="AC31">
        <f>HYPERLINK("https://klasma.github.io/Logging_2084/tillsyn/A 56786-2024 tillsynsbegäran.docx", "A 56786-2024")</f>
        <v/>
      </c>
      <c r="AD31">
        <f>HYPERLINK("https://klasma.github.io/Logging_2084/tillsynsmail/A 56786-2024 tillsynsbegäran mail.docx", "A 56786-2024")</f>
        <v/>
      </c>
    </row>
    <row r="32" ht="15" customHeight="1">
      <c r="A32" t="inlineStr">
        <is>
          <t>A 60446-2025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45995</v>
      </c>
      <c r="E32" s="1" t="n">
        <v>46303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HYPERLINK("https://klasma.github.io/Logging_2084/artfynd/A 60446-2025 artfynd.xlsx", "A 60446-2025")</f>
        <v/>
      </c>
      <c r="X32">
        <f>HYPERLINK("https://klasma.github.io/Logging_2084/kartor/A 60446-2025 karta.png", "A 60446-2025")</f>
        <v/>
      </c>
      <c r="Y32">
        <f>HYPERLINK("https://klasma.github.io/Logging_2084/kartor_geotiff/A 60446-2025 georefererad karta.tif", "A 60446-2025")</f>
        <v/>
      </c>
      <c r="AA32">
        <f>HYPERLINK("https://klasma.github.io/Logging_2084/klagomål/A 60446-2025 FSC-klagomål.docx", "A 60446-2025")</f>
        <v/>
      </c>
      <c r="AB32">
        <f>HYPERLINK("https://klasma.github.io/Logging_2084/klagomålsmail/A 60446-2025 FSC-klagomål mail.docx", "A 60446-2025")</f>
        <v/>
      </c>
      <c r="AC32">
        <f>HYPERLINK("https://klasma.github.io/Logging_2084/tillsyn/A 60446-2025 tillsynsbegäran.docx", "A 60446-2025")</f>
        <v/>
      </c>
      <c r="AD32">
        <f>HYPERLINK("https://klasma.github.io/Logging_2084/tillsynsmail/A 60446-2025 tillsynsbegäran mail.docx", "A 60446-2025")</f>
        <v/>
      </c>
    </row>
    <row r="33" ht="15" customHeight="1">
      <c r="A33" t="inlineStr">
        <is>
          <t>A 26787-2026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46183</v>
      </c>
      <c r="E33" s="1" t="n">
        <v>46303</v>
      </c>
      <c r="F33" t="inlineStr">
        <is>
          <t>DALARNAS LÄN</t>
        </is>
      </c>
      <c r="G33" t="inlineStr">
        <is>
          <t>AVESTA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26787-2026 artfynd.xlsx", "A 26787-2026")</f>
        <v/>
      </c>
      <c r="X33">
        <f>HYPERLINK("https://klasma.github.io/Logging_2084/kartor/A 26787-2026 karta.png", "A 26787-2026")</f>
        <v/>
      </c>
      <c r="Y33">
        <f>HYPERLINK("https://klasma.github.io/Logging_2084/kartor_geotiff/A 26787-2026 georefererad karta.tif", "A 26787-2026")</f>
        <v/>
      </c>
      <c r="AA33">
        <f>HYPERLINK("https://klasma.github.io/Logging_2084/klagomål/A 26787-2026 FSC-klagomål.docx", "A 26787-2026")</f>
        <v/>
      </c>
      <c r="AB33">
        <f>HYPERLINK("https://klasma.github.io/Logging_2084/klagomålsmail/A 26787-2026 FSC-klagomål mail.docx", "A 26787-2026")</f>
        <v/>
      </c>
      <c r="AC33">
        <f>HYPERLINK("https://klasma.github.io/Logging_2084/tillsyn/A 26787-2026 tillsynsbegäran.docx", "A 26787-2026")</f>
        <v/>
      </c>
      <c r="AD33">
        <f>HYPERLINK("https://klasma.github.io/Logging_2084/tillsynsmail/A 26787-2026 tillsynsbegäran mail.docx", "A 26787-2026")</f>
        <v/>
      </c>
    </row>
    <row r="34" ht="15" customHeight="1">
      <c r="A34" t="inlineStr">
        <is>
          <t>A 21412-2023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46303</v>
      </c>
      <c r="F34" t="inlineStr">
        <is>
          <t>DALARNAS LÄN</t>
        </is>
      </c>
      <c r="G34" t="inlineStr">
        <is>
          <t>AVESTA</t>
        </is>
      </c>
      <c r="H34" t="inlineStr">
        <is>
          <t>Bergvik skog väst AB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Nattviol</t>
        </is>
      </c>
      <c r="W34">
        <f>HYPERLINK("https://klasma.github.io/Logging_2084/artfynd/A 21412-2023 artfynd.xlsx", "A 21412-2023")</f>
        <v/>
      </c>
      <c r="X34">
        <f>HYPERLINK("https://klasma.github.io/Logging_2084/kartor/A 21412-2023 karta.png", "A 21412-2023")</f>
        <v/>
      </c>
      <c r="Y34">
        <f>HYPERLINK("https://klasma.github.io/Logging_2084/kartor_geotiff/A 21412-2023 georefererad karta.tif", "A 21412-2023")</f>
        <v/>
      </c>
      <c r="AA34">
        <f>HYPERLINK("https://klasma.github.io/Logging_2084/klagomål/A 21412-2023 FSC-klagomål.docx", "A 21412-2023")</f>
        <v/>
      </c>
      <c r="AB34">
        <f>HYPERLINK("https://klasma.github.io/Logging_2084/klagomålsmail/A 21412-2023 FSC-klagomål mail.docx", "A 21412-2023")</f>
        <v/>
      </c>
      <c r="AC34">
        <f>HYPERLINK("https://klasma.github.io/Logging_2084/tillsyn/A 21412-2023 tillsynsbegäran.docx", "A 21412-2023")</f>
        <v/>
      </c>
      <c r="AD34">
        <f>HYPERLINK("https://klasma.github.io/Logging_2084/tillsynsmail/A 21412-2023 tillsynsbegäran mail.docx", "A 21412-2023")</f>
        <v/>
      </c>
    </row>
    <row r="35" ht="15" customHeight="1">
      <c r="A35" t="inlineStr">
        <is>
          <t>A 15987-2026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46303</v>
      </c>
      <c r="F35" t="inlineStr">
        <is>
          <t>DALARNAS LÄN</t>
        </is>
      </c>
      <c r="G35" t="inlineStr">
        <is>
          <t>AVESTA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Lopplummer (aggregat)</t>
        </is>
      </c>
      <c r="W35">
        <f>HYPERLINK("https://klasma.github.io/Logging_2084/artfynd/A 15987-2026 artfynd.xlsx", "A 15987-2026")</f>
        <v/>
      </c>
      <c r="X35">
        <f>HYPERLINK("https://klasma.github.io/Logging_2084/kartor/A 15987-2026 karta.png", "A 15987-2026")</f>
        <v/>
      </c>
      <c r="Y35">
        <f>HYPERLINK("https://klasma.github.io/Logging_2084/kartor_geotiff/A 15987-2026 georefererad karta.tif", "A 15987-2026")</f>
        <v/>
      </c>
      <c r="AA35">
        <f>HYPERLINK("https://klasma.github.io/Logging_2084/klagomål/A 15987-2026 FSC-klagomål.docx", "A 15987-2026")</f>
        <v/>
      </c>
      <c r="AB35">
        <f>HYPERLINK("https://klasma.github.io/Logging_2084/klagomålsmail/A 15987-2026 FSC-klagomål mail.docx", "A 15987-2026")</f>
        <v/>
      </c>
      <c r="AC35">
        <f>HYPERLINK("https://klasma.github.io/Logging_2084/tillsyn/A 15987-2026 tillsynsbegäran.docx", "A 15987-2026")</f>
        <v/>
      </c>
      <c r="AD35">
        <f>HYPERLINK("https://klasma.github.io/Logging_2084/tillsynsmail/A 15987-2026 tillsynsbegäran mail.docx", "A 15987-2026")</f>
        <v/>
      </c>
    </row>
    <row r="36" ht="15" customHeight="1">
      <c r="A36" t="inlineStr">
        <is>
          <t>A 32516-2026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46239</v>
      </c>
      <c r="E36" s="1" t="n">
        <v>46303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Nordfladdermus</t>
        </is>
      </c>
      <c r="W36">
        <f>HYPERLINK("https://klasma.github.io/Logging_2084/artfynd/A 32516-2026 artfynd.xlsx", "A 32516-2026")</f>
        <v/>
      </c>
      <c r="X36">
        <f>HYPERLINK("https://klasma.github.io/Logging_2084/kartor/A 32516-2026 karta.png", "A 32516-2026")</f>
        <v/>
      </c>
      <c r="Y36">
        <f>HYPERLINK("https://klasma.github.io/Logging_2084/kartor_geotiff/A 32516-2026 georefererad karta.tif", "A 32516-2026")</f>
        <v/>
      </c>
      <c r="AA36">
        <f>HYPERLINK("https://klasma.github.io/Logging_2084/klagomål/A 32516-2026 FSC-klagomål.docx", "A 32516-2026")</f>
        <v/>
      </c>
      <c r="AB36">
        <f>HYPERLINK("https://klasma.github.io/Logging_2084/klagomålsmail/A 32516-2026 FSC-klagomål mail.docx", "A 32516-2026")</f>
        <v/>
      </c>
      <c r="AC36">
        <f>HYPERLINK("https://klasma.github.io/Logging_2084/tillsyn/A 32516-2026 tillsynsbegäran.docx", "A 32516-2026")</f>
        <v/>
      </c>
      <c r="AD36">
        <f>HYPERLINK("https://klasma.github.io/Logging_2084/tillsynsmail/A 32516-2026 tillsynsbegäran mail.docx", "A 32516-2026")</f>
        <v/>
      </c>
    </row>
    <row r="37" ht="15" customHeight="1">
      <c r="A37" t="inlineStr">
        <is>
          <t>A 32927-2026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46303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HYPERLINK("https://klasma.github.io/Logging_2084/artfynd/A 32927-2026 artfynd.xlsx", "A 32927-2026")</f>
        <v/>
      </c>
      <c r="X37">
        <f>HYPERLINK("https://klasma.github.io/Logging_2084/kartor/A 32927-2026 karta.png", "A 32927-2026")</f>
        <v/>
      </c>
      <c r="Y37">
        <f>HYPERLINK("https://klasma.github.io/Logging_2084/kartor_geotiff/A 32927-2026 georefererad karta.tif", "A 32927-2026")</f>
        <v/>
      </c>
      <c r="AA37">
        <f>HYPERLINK("https://klasma.github.io/Logging_2084/klagomål/A 32927-2026 FSC-klagomål.docx", "A 32927-2026")</f>
        <v/>
      </c>
      <c r="AB37">
        <f>HYPERLINK("https://klasma.github.io/Logging_2084/klagomålsmail/A 32927-2026 FSC-klagomål mail.docx", "A 32927-2026")</f>
        <v/>
      </c>
      <c r="AC37">
        <f>HYPERLINK("https://klasma.github.io/Logging_2084/tillsyn/A 32927-2026 tillsynsbegäran.docx", "A 32927-2026")</f>
        <v/>
      </c>
      <c r="AD37">
        <f>HYPERLINK("https://klasma.github.io/Logging_2084/tillsynsmail/A 32927-2026 tillsynsbegäran mail.docx", "A 32927-2026")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46303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46303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46303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46303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46303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46303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46303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46303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44477</v>
      </c>
      <c r="E46" s="1" t="n">
        <v>46303</v>
      </c>
      <c r="F46" t="inlineStr">
        <is>
          <t>DALARNAS LÄN</t>
        </is>
      </c>
      <c r="G46" t="inlineStr">
        <is>
          <t>AVESTA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46303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46303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46303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46303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46303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45625</v>
      </c>
      <c r="E52" s="1" t="n">
        <v>46303</v>
      </c>
      <c r="F52" t="inlineStr">
        <is>
          <t>DALARNAS LÄN</t>
        </is>
      </c>
      <c r="G52" t="inlineStr">
        <is>
          <t>AVESTA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46303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25463-2023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46303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46303</v>
      </c>
      <c r="F55" t="inlineStr">
        <is>
          <t>DALARNAS LÄN</t>
        </is>
      </c>
      <c r="G55" t="inlineStr">
        <is>
          <t>AVESTA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23974-2023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46303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45008</v>
      </c>
      <c r="E57" s="1" t="n">
        <v>46303</v>
      </c>
      <c r="F57" t="inlineStr">
        <is>
          <t>DALARNAS LÄN</t>
        </is>
      </c>
      <c r="G57" t="inlineStr">
        <is>
          <t>AVESTA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46303</v>
      </c>
      <c r="F58" t="inlineStr">
        <is>
          <t>DALARNAS LÄN</t>
        </is>
      </c>
      <c r="G58" t="inlineStr">
        <is>
          <t>AVESTA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46303</v>
      </c>
      <c r="F59" t="inlineStr">
        <is>
          <t>DALARNAS LÄN</t>
        </is>
      </c>
      <c r="G59" t="inlineStr">
        <is>
          <t>AVESTA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28090-2022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46303</v>
      </c>
      <c r="F60" t="inlineStr">
        <is>
          <t>DALARNAS LÄN</t>
        </is>
      </c>
      <c r="G60" t="inlineStr">
        <is>
          <t>AVESTA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45729</v>
      </c>
      <c r="E61" s="1" t="n">
        <v>46303</v>
      </c>
      <c r="F61" t="inlineStr">
        <is>
          <t>DALARNAS LÄN</t>
        </is>
      </c>
      <c r="G61" t="inlineStr">
        <is>
          <t>AVESTA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46303</v>
      </c>
      <c r="F62" t="inlineStr">
        <is>
          <t>DALARNAS LÄN</t>
        </is>
      </c>
      <c r="G62" t="inlineStr">
        <is>
          <t>AVESTA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45196</v>
      </c>
      <c r="E63" s="1" t="n">
        <v>46303</v>
      </c>
      <c r="F63" t="inlineStr">
        <is>
          <t>DALARNAS LÄN</t>
        </is>
      </c>
      <c r="G63" t="inlineStr">
        <is>
          <t>AVESTA</t>
        </is>
      </c>
      <c r="H63" t="inlineStr">
        <is>
          <t>Sveaskog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45196</v>
      </c>
      <c r="E64" s="1" t="n">
        <v>46303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45497</v>
      </c>
      <c r="E65" s="1" t="n">
        <v>46303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45694</v>
      </c>
      <c r="E66" s="1" t="n">
        <v>46303</v>
      </c>
      <c r="F66" t="inlineStr">
        <is>
          <t>DALARNAS LÄN</t>
        </is>
      </c>
      <c r="G66" t="inlineStr">
        <is>
          <t>AVESTA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36961-2024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45538</v>
      </c>
      <c r="E67" s="1" t="n">
        <v>46303</v>
      </c>
      <c r="F67" t="inlineStr">
        <is>
          <t>DALARNAS LÄN</t>
        </is>
      </c>
      <c r="G67" t="inlineStr">
        <is>
          <t>AVESTA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45628</v>
      </c>
      <c r="E68" s="1" t="n">
        <v>46303</v>
      </c>
      <c r="F68" t="inlineStr">
        <is>
          <t>DALARNAS LÄN</t>
        </is>
      </c>
      <c r="G68" t="inlineStr">
        <is>
          <t>AVESTA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16522-2025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45751</v>
      </c>
      <c r="E69" s="1" t="n">
        <v>46303</v>
      </c>
      <c r="F69" t="inlineStr">
        <is>
          <t>DALARNAS LÄN</t>
        </is>
      </c>
      <c r="G69" t="inlineStr">
        <is>
          <t>AVESTA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44734</v>
      </c>
      <c r="E70" s="1" t="n">
        <v>46303</v>
      </c>
      <c r="F70" t="inlineStr">
        <is>
          <t>DALARNAS LÄN</t>
        </is>
      </c>
      <c r="G70" t="inlineStr">
        <is>
          <t>AVESTA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46303</v>
      </c>
      <c r="F71" t="inlineStr">
        <is>
          <t>DALARNAS LÄN</t>
        </is>
      </c>
      <c r="G71" t="inlineStr">
        <is>
          <t>AVESTA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20942-2025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45777</v>
      </c>
      <c r="E72" s="1" t="n">
        <v>46303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10078-2025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46303</v>
      </c>
      <c r="F73" t="inlineStr">
        <is>
          <t>DALARNAS LÄN</t>
        </is>
      </c>
      <c r="G73" t="inlineStr">
        <is>
          <t>AVESTA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46303</v>
      </c>
      <c r="F74" t="inlineStr">
        <is>
          <t>DALARNAS LÄN</t>
        </is>
      </c>
      <c r="G74" t="inlineStr">
        <is>
          <t>AVESTA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46303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46303</v>
      </c>
      <c r="F76" t="inlineStr">
        <is>
          <t>DALARNAS LÄN</t>
        </is>
      </c>
      <c r="G76" t="inlineStr">
        <is>
          <t>AVESTA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46303</v>
      </c>
      <c r="F77" t="inlineStr">
        <is>
          <t>DALARNAS LÄN</t>
        </is>
      </c>
      <c r="G77" t="inlineStr">
        <is>
          <t>AVESTA</t>
        </is>
      </c>
      <c r="I77" t="n">
        <v>14.8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45405</v>
      </c>
      <c r="E78" s="1" t="n">
        <v>46303</v>
      </c>
      <c r="F78" t="inlineStr">
        <is>
          <t>DALARNAS LÄN</t>
        </is>
      </c>
      <c r="G78" t="inlineStr">
        <is>
          <t>AVESTA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45492</v>
      </c>
      <c r="E79" s="1" t="n">
        <v>46303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46303</v>
      </c>
      <c r="F80" t="inlineStr">
        <is>
          <t>DALARNAS LÄN</t>
        </is>
      </c>
      <c r="G80" t="inlineStr">
        <is>
          <t>AVESTA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14084-2023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45009</v>
      </c>
      <c r="E81" s="1" t="n">
        <v>46303</v>
      </c>
      <c r="F81" t="inlineStr">
        <is>
          <t>DALARNAS LÄN</t>
        </is>
      </c>
      <c r="G81" t="inlineStr">
        <is>
          <t>AVESTA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14090-2023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46303</v>
      </c>
      <c r="F82" t="inlineStr">
        <is>
          <t>DALARNAS LÄN</t>
        </is>
      </c>
      <c r="G82" t="inlineStr">
        <is>
          <t>AVESTA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46303</v>
      </c>
      <c r="F83" t="inlineStr">
        <is>
          <t>DALARNAS LÄN</t>
        </is>
      </c>
      <c r="G83" t="inlineStr">
        <is>
          <t>AVESTA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46303</v>
      </c>
      <c r="F84" t="inlineStr">
        <is>
          <t>DALARNAS LÄN</t>
        </is>
      </c>
      <c r="G84" t="inlineStr">
        <is>
          <t>AVESTA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73377-2021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46303</v>
      </c>
      <c r="F85" t="inlineStr">
        <is>
          <t>DALARNAS LÄN</t>
        </is>
      </c>
      <c r="G85" t="inlineStr">
        <is>
          <t>AVESTA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46303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18573-2025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46303</v>
      </c>
      <c r="F87" t="inlineStr">
        <is>
          <t>DALARNAS LÄN</t>
        </is>
      </c>
      <c r="G87" t="inlineStr">
        <is>
          <t>AVESTA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46303</v>
      </c>
      <c r="F88" t="inlineStr">
        <is>
          <t>DALARNAS LÄN</t>
        </is>
      </c>
      <c r="G88" t="inlineStr">
        <is>
          <t>AVESTA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46303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45316</v>
      </c>
      <c r="E90" s="1" t="n">
        <v>46303</v>
      </c>
      <c r="F90" t="inlineStr">
        <is>
          <t>DALARNAS LÄN</t>
        </is>
      </c>
      <c r="G90" t="inlineStr">
        <is>
          <t>AVESTA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45441</v>
      </c>
      <c r="E91" s="1" t="n">
        <v>46303</v>
      </c>
      <c r="F91" t="inlineStr">
        <is>
          <t>DALARNAS LÄN</t>
        </is>
      </c>
      <c r="G91" t="inlineStr">
        <is>
          <t>AVESTA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18112-2022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44684</v>
      </c>
      <c r="E92" s="1" t="n">
        <v>46303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46303</v>
      </c>
      <c r="F93" t="inlineStr">
        <is>
          <t>DALARNAS LÄN</t>
        </is>
      </c>
      <c r="G93" t="inlineStr">
        <is>
          <t>AVESTA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46303</v>
      </c>
      <c r="F94" t="inlineStr">
        <is>
          <t>DALARNAS LÄN</t>
        </is>
      </c>
      <c r="G94" t="inlineStr">
        <is>
          <t>AVESTA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45473</v>
      </c>
      <c r="E95" s="1" t="n">
        <v>46303</v>
      </c>
      <c r="F95" t="inlineStr">
        <is>
          <t>DALARNAS LÄN</t>
        </is>
      </c>
      <c r="G95" t="inlineStr">
        <is>
          <t>AVESTA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45549</v>
      </c>
      <c r="E96" s="1" t="n">
        <v>46303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46303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58094-2022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46303</v>
      </c>
      <c r="F98" t="inlineStr">
        <is>
          <t>DALARNAS LÄN</t>
        </is>
      </c>
      <c r="G98" t="inlineStr">
        <is>
          <t>AVESTA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45408</v>
      </c>
      <c r="E99" s="1" t="n">
        <v>46303</v>
      </c>
      <c r="F99" t="inlineStr">
        <is>
          <t>DALARNAS LÄN</t>
        </is>
      </c>
      <c r="G99" t="inlineStr">
        <is>
          <t>AVESTA</t>
        </is>
      </c>
      <c r="H99" t="inlineStr">
        <is>
          <t>Bergvik skog väst AB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45370</v>
      </c>
      <c r="E100" s="1" t="n">
        <v>46303</v>
      </c>
      <c r="F100" t="inlineStr">
        <is>
          <t>DALARNAS LÄN</t>
        </is>
      </c>
      <c r="G100" t="inlineStr">
        <is>
          <t>AVESTA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15925-2024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46303</v>
      </c>
      <c r="F101" t="inlineStr">
        <is>
          <t>DALARNAS LÄN</t>
        </is>
      </c>
      <c r="G101" t="inlineStr">
        <is>
          <t>AVESTA</t>
        </is>
      </c>
      <c r="I101" t="n">
        <v>13.7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46303</v>
      </c>
      <c r="F102" t="inlineStr">
        <is>
          <t>DALARNAS LÄN</t>
        </is>
      </c>
      <c r="G102" t="inlineStr">
        <is>
          <t>AVESTA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46303</v>
      </c>
      <c r="F103" t="inlineStr">
        <is>
          <t>DALARNAS LÄN</t>
        </is>
      </c>
      <c r="G103" t="inlineStr">
        <is>
          <t>AVESTA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46303</v>
      </c>
      <c r="F104" t="inlineStr">
        <is>
          <t>DALARNAS LÄN</t>
        </is>
      </c>
      <c r="G104" t="inlineStr">
        <is>
          <t>AVESTA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45796</v>
      </c>
      <c r="E105" s="1" t="n">
        <v>46303</v>
      </c>
      <c r="F105" t="inlineStr">
        <is>
          <t>DALARNAS LÄN</t>
        </is>
      </c>
      <c r="G105" t="inlineStr">
        <is>
          <t>AVESTA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46303</v>
      </c>
      <c r="F106" t="inlineStr">
        <is>
          <t>DALARNAS LÄN</t>
        </is>
      </c>
      <c r="G106" t="inlineStr">
        <is>
          <t>AVESTA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46303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46303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46303</v>
      </c>
      <c r="F109" t="inlineStr">
        <is>
          <t>DALARNAS LÄN</t>
        </is>
      </c>
      <c r="G109" t="inlineStr">
        <is>
          <t>AVESTA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46303</v>
      </c>
      <c r="F110" t="inlineStr">
        <is>
          <t>DALARNAS LÄN</t>
        </is>
      </c>
      <c r="G110" t="inlineStr">
        <is>
          <t>AVESTA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46303</v>
      </c>
      <c r="F111" t="inlineStr">
        <is>
          <t>DALARNAS LÄN</t>
        </is>
      </c>
      <c r="G111" t="inlineStr">
        <is>
          <t>AVESTA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45796</v>
      </c>
      <c r="E112" s="1" t="n">
        <v>46303</v>
      </c>
      <c r="F112" t="inlineStr">
        <is>
          <t>DALARNAS LÄN</t>
        </is>
      </c>
      <c r="G112" t="inlineStr">
        <is>
          <t>AVESTA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62093-2024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45656</v>
      </c>
      <c r="E113" s="1" t="n">
        <v>46303</v>
      </c>
      <c r="F113" t="inlineStr">
        <is>
          <t>DALARNAS LÄN</t>
        </is>
      </c>
      <c r="G113" t="inlineStr">
        <is>
          <t>AVESTA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45281</v>
      </c>
      <c r="E114" s="1" t="n">
        <v>46303</v>
      </c>
      <c r="F114" t="inlineStr">
        <is>
          <t>DALARNAS LÄN</t>
        </is>
      </c>
      <c r="G114" t="inlineStr">
        <is>
          <t>AVESTA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46303</v>
      </c>
      <c r="F115" t="inlineStr">
        <is>
          <t>DALARNAS LÄN</t>
        </is>
      </c>
      <c r="G115" t="inlineStr">
        <is>
          <t>AVESTA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31387-2024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45505</v>
      </c>
      <c r="E116" s="1" t="n">
        <v>46303</v>
      </c>
      <c r="F116" t="inlineStr">
        <is>
          <t>DALARNAS LÄN</t>
        </is>
      </c>
      <c r="G116" t="inlineStr">
        <is>
          <t>AVESTA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42072-2025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46303</v>
      </c>
      <c r="F117" t="inlineStr">
        <is>
          <t>DALARNAS LÄN</t>
        </is>
      </c>
      <c r="G117" t="inlineStr">
        <is>
          <t>AVESTA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24834-2025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45799</v>
      </c>
      <c r="E118" s="1" t="n">
        <v>46303</v>
      </c>
      <c r="F118" t="inlineStr">
        <is>
          <t>DALARNAS LÄN</t>
        </is>
      </c>
      <c r="G118" t="inlineStr">
        <is>
          <t>AVESTA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46303</v>
      </c>
      <c r="F119" t="inlineStr">
        <is>
          <t>DALARNAS LÄN</t>
        </is>
      </c>
      <c r="G119" t="inlineStr">
        <is>
          <t>AVESTA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46303</v>
      </c>
      <c r="F120" t="inlineStr">
        <is>
          <t>DALARNAS LÄN</t>
        </is>
      </c>
      <c r="G120" t="inlineStr">
        <is>
          <t>AVESTA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46303</v>
      </c>
      <c r="F121" t="inlineStr">
        <is>
          <t>DALARNAS LÄN</t>
        </is>
      </c>
      <c r="G121" t="inlineStr">
        <is>
          <t>AVESTA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46303</v>
      </c>
      <c r="F122" t="inlineStr">
        <is>
          <t>DALARNAS LÄN</t>
        </is>
      </c>
      <c r="G122" t="inlineStr">
        <is>
          <t>AVESTA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46303</v>
      </c>
      <c r="F123" t="inlineStr">
        <is>
          <t>DALARNAS LÄN</t>
        </is>
      </c>
      <c r="G123" t="inlineStr">
        <is>
          <t>AVESTA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43172-2025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45910</v>
      </c>
      <c r="E124" s="1" t="n">
        <v>46303</v>
      </c>
      <c r="F124" t="inlineStr">
        <is>
          <t>DALARNAS LÄN</t>
        </is>
      </c>
      <c r="G124" t="inlineStr">
        <is>
          <t>AVESTA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45803</v>
      </c>
      <c r="E125" s="1" t="n">
        <v>46303</v>
      </c>
      <c r="F125" t="inlineStr">
        <is>
          <t>DALARNAS LÄN</t>
        </is>
      </c>
      <c r="G125" t="inlineStr">
        <is>
          <t>AVESTA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46303</v>
      </c>
      <c r="F126" t="inlineStr">
        <is>
          <t>DALARNAS LÄN</t>
        </is>
      </c>
      <c r="G126" t="inlineStr">
        <is>
          <t>AVESTA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46303</v>
      </c>
      <c r="F127" t="inlineStr">
        <is>
          <t>DALARNAS LÄN</t>
        </is>
      </c>
      <c r="G127" t="inlineStr">
        <is>
          <t>AVESTA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45019</v>
      </c>
      <c r="E128" s="1" t="n">
        <v>46303</v>
      </c>
      <c r="F128" t="inlineStr">
        <is>
          <t>DALARNAS LÄN</t>
        </is>
      </c>
      <c r="G128" t="inlineStr">
        <is>
          <t>AVESTA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44980</v>
      </c>
      <c r="E129" s="1" t="n">
        <v>46303</v>
      </c>
      <c r="F129" t="inlineStr">
        <is>
          <t>DALARNAS LÄN</t>
        </is>
      </c>
      <c r="G129" t="inlineStr">
        <is>
          <t>AVESTA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45330</v>
      </c>
      <c r="E130" s="1" t="n">
        <v>46303</v>
      </c>
      <c r="F130" t="inlineStr">
        <is>
          <t>DALARNAS LÄN</t>
        </is>
      </c>
      <c r="G130" t="inlineStr">
        <is>
          <t>AVESTA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46303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46303</v>
      </c>
      <c r="F132" t="inlineStr">
        <is>
          <t>DALARNAS LÄN</t>
        </is>
      </c>
      <c r="G132" t="inlineStr">
        <is>
          <t>AVESTA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45269</v>
      </c>
      <c r="E133" s="1" t="n">
        <v>46303</v>
      </c>
      <c r="F133" t="inlineStr">
        <is>
          <t>DALARNAS LÄN</t>
        </is>
      </c>
      <c r="G133" t="inlineStr">
        <is>
          <t>AVESTA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45505</v>
      </c>
      <c r="E134" s="1" t="n">
        <v>46303</v>
      </c>
      <c r="F134" t="inlineStr">
        <is>
          <t>DALARNAS LÄN</t>
        </is>
      </c>
      <c r="G134" t="inlineStr">
        <is>
          <t>AVESTA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45818</v>
      </c>
      <c r="E135" s="1" t="n">
        <v>46303</v>
      </c>
      <c r="F135" t="inlineStr">
        <is>
          <t>DALARNAS LÄN</t>
        </is>
      </c>
      <c r="G135" t="inlineStr">
        <is>
          <t>AVESTA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45496</v>
      </c>
      <c r="E136" s="1" t="n">
        <v>46303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45496</v>
      </c>
      <c r="E137" s="1" t="n">
        <v>46303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46303</v>
      </c>
      <c r="F138" t="inlineStr">
        <is>
          <t>DALARNAS LÄN</t>
        </is>
      </c>
      <c r="G138" t="inlineStr">
        <is>
          <t>AVESTA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46303</v>
      </c>
      <c r="F139" t="inlineStr">
        <is>
          <t>DALARNAS LÄN</t>
        </is>
      </c>
      <c r="G139" t="inlineStr">
        <is>
          <t>AVESTA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44963</v>
      </c>
      <c r="E140" s="1" t="n">
        <v>46303</v>
      </c>
      <c r="F140" t="inlineStr">
        <is>
          <t>DALARNAS LÄN</t>
        </is>
      </c>
      <c r="G140" t="inlineStr">
        <is>
          <t>AVESTA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46303</v>
      </c>
      <c r="F141" t="inlineStr">
        <is>
          <t>DALARNAS LÄN</t>
        </is>
      </c>
      <c r="G141" t="inlineStr">
        <is>
          <t>AVESTA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45560</v>
      </c>
      <c r="E142" s="1" t="n">
        <v>46303</v>
      </c>
      <c r="F142" t="inlineStr">
        <is>
          <t>DALARNAS LÄN</t>
        </is>
      </c>
      <c r="G142" t="inlineStr">
        <is>
          <t>AVESTA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45138</v>
      </c>
      <c r="E143" s="1" t="n">
        <v>46303</v>
      </c>
      <c r="F143" t="inlineStr">
        <is>
          <t>DALARNAS LÄN</t>
        </is>
      </c>
      <c r="G143" t="inlineStr">
        <is>
          <t>AVESTA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46303</v>
      </c>
      <c r="F144" t="inlineStr">
        <is>
          <t>DALARNAS LÄN</t>
        </is>
      </c>
      <c r="G144" t="inlineStr">
        <is>
          <t>AVESTA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46303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45943</v>
      </c>
      <c r="E146" s="1" t="n">
        <v>46303</v>
      </c>
      <c r="F146" t="inlineStr">
        <is>
          <t>DALARNAS LÄN</t>
        </is>
      </c>
      <c r="G146" t="inlineStr">
        <is>
          <t>AVESTA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41850-2025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45902</v>
      </c>
      <c r="E147" s="1" t="n">
        <v>46303</v>
      </c>
      <c r="F147" t="inlineStr">
        <is>
          <t>DALARNAS LÄN</t>
        </is>
      </c>
      <c r="G147" t="inlineStr">
        <is>
          <t>AVESTA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45598</v>
      </c>
      <c r="E148" s="1" t="n">
        <v>46303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46303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45944</v>
      </c>
      <c r="E150" s="1" t="n">
        <v>46303</v>
      </c>
      <c r="F150" t="inlineStr">
        <is>
          <t>DALARNAS LÄN</t>
        </is>
      </c>
      <c r="G150" t="inlineStr">
        <is>
          <t>AVESTA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45948</v>
      </c>
      <c r="E151" s="1" t="n">
        <v>46303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45948</v>
      </c>
      <c r="E152" s="1" t="n">
        <v>46303</v>
      </c>
      <c r="F152" t="inlineStr">
        <is>
          <t>DALARNAS LÄN</t>
        </is>
      </c>
      <c r="G152" t="inlineStr">
        <is>
          <t>AVESTA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45514</v>
      </c>
      <c r="E153" s="1" t="n">
        <v>46303</v>
      </c>
      <c r="F153" t="inlineStr">
        <is>
          <t>DALARNAS LÄN</t>
        </is>
      </c>
      <c r="G153" t="inlineStr">
        <is>
          <t>AVESTA</t>
        </is>
      </c>
      <c r="H153" t="inlineStr">
        <is>
          <t>Bergvik skog väst AB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46303</v>
      </c>
      <c r="F154" t="inlineStr">
        <is>
          <t>DALARNAS LÄN</t>
        </is>
      </c>
      <c r="G154" t="inlineStr">
        <is>
          <t>AVESTA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46303</v>
      </c>
      <c r="F155" t="inlineStr">
        <is>
          <t>DALARNAS LÄN</t>
        </is>
      </c>
      <c r="G155" t="inlineStr">
        <is>
          <t>AVESTA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46303</v>
      </c>
      <c r="F156" t="inlineStr">
        <is>
          <t>DALARNAS LÄN</t>
        </is>
      </c>
      <c r="G156" t="inlineStr">
        <is>
          <t>AVESTA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44972</v>
      </c>
      <c r="E157" s="1" t="n">
        <v>46303</v>
      </c>
      <c r="F157" t="inlineStr">
        <is>
          <t>DALARNAS LÄN</t>
        </is>
      </c>
      <c r="G157" t="inlineStr">
        <is>
          <t>AVESTA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46303</v>
      </c>
      <c r="F158" t="inlineStr">
        <is>
          <t>DALARNAS LÄN</t>
        </is>
      </c>
      <c r="G158" t="inlineStr">
        <is>
          <t>AVESTA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46303</v>
      </c>
      <c r="F159" t="inlineStr">
        <is>
          <t>DALARNAS LÄN</t>
        </is>
      </c>
      <c r="G159" t="inlineStr">
        <is>
          <t>AVESTA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46303</v>
      </c>
      <c r="F160" t="inlineStr">
        <is>
          <t>DALARNAS LÄN</t>
        </is>
      </c>
      <c r="G160" t="inlineStr">
        <is>
          <t>AVESTA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46303</v>
      </c>
      <c r="F161" t="inlineStr">
        <is>
          <t>DALARNAS LÄN</t>
        </is>
      </c>
      <c r="G161" t="inlineStr">
        <is>
          <t>AVESTA</t>
        </is>
      </c>
      <c r="H161" t="inlineStr">
        <is>
          <t>Bergvik skog väst AB</t>
        </is>
      </c>
      <c r="I161" t="n">
        <v>37.2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45264</v>
      </c>
      <c r="E162" s="1" t="n">
        <v>46303</v>
      </c>
      <c r="F162" t="inlineStr">
        <is>
          <t>DALARNAS LÄN</t>
        </is>
      </c>
      <c r="G162" t="inlineStr">
        <is>
          <t>AVESTA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46303</v>
      </c>
      <c r="F163" t="inlineStr">
        <is>
          <t>DALARNAS LÄN</t>
        </is>
      </c>
      <c r="G163" t="inlineStr">
        <is>
          <t>AVESTA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10957-2024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45370</v>
      </c>
      <c r="E164" s="1" t="n">
        <v>46303</v>
      </c>
      <c r="F164" t="inlineStr">
        <is>
          <t>DALARNAS LÄN</t>
        </is>
      </c>
      <c r="G164" t="inlineStr">
        <is>
          <t>AVESTA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45499</v>
      </c>
      <c r="E165" s="1" t="n">
        <v>46303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45639</v>
      </c>
      <c r="E166" s="1" t="n">
        <v>46303</v>
      </c>
      <c r="F166" t="inlineStr">
        <is>
          <t>DALARNAS LÄN</t>
        </is>
      </c>
      <c r="G166" t="inlineStr">
        <is>
          <t>AVESTA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46303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45863</v>
      </c>
      <c r="E168" s="1" t="n">
        <v>46303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45863</v>
      </c>
      <c r="E169" s="1" t="n">
        <v>46303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45863</v>
      </c>
      <c r="E170" s="1" t="n">
        <v>46303</v>
      </c>
      <c r="F170" t="inlineStr">
        <is>
          <t>DALARNAS LÄN</t>
        </is>
      </c>
      <c r="G170" t="inlineStr">
        <is>
          <t>AVESTA</t>
        </is>
      </c>
      <c r="H170" t="inlineStr">
        <is>
          <t>Sveaskog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36178-2025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45867</v>
      </c>
      <c r="E171" s="1" t="n">
        <v>46303</v>
      </c>
      <c r="F171" t="inlineStr">
        <is>
          <t>DALARNAS LÄN</t>
        </is>
      </c>
      <c r="G171" t="inlineStr">
        <is>
          <t>AVESTA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44471-2024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46303</v>
      </c>
      <c r="F172" t="inlineStr">
        <is>
          <t>DALARNAS LÄN</t>
        </is>
      </c>
      <c r="G172" t="inlineStr">
        <is>
          <t>AVESTA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9403-2022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44616</v>
      </c>
      <c r="E173" s="1" t="n">
        <v>46303</v>
      </c>
      <c r="F173" t="inlineStr">
        <is>
          <t>DALARNAS LÄN</t>
        </is>
      </c>
      <c r="G173" t="inlineStr">
        <is>
          <t>AVESTA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45881</v>
      </c>
      <c r="E174" s="1" t="n">
        <v>46303</v>
      </c>
      <c r="F174" t="inlineStr">
        <is>
          <t>DALARNAS LÄN</t>
        </is>
      </c>
      <c r="G174" t="inlineStr">
        <is>
          <t>AVESTA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45649</v>
      </c>
      <c r="E175" s="1" t="n">
        <v>46303</v>
      </c>
      <c r="F175" t="inlineStr">
        <is>
          <t>DALARNAS LÄN</t>
        </is>
      </c>
      <c r="G175" t="inlineStr">
        <is>
          <t>AVESTA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46303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46303</v>
      </c>
      <c r="F177" t="inlineStr">
        <is>
          <t>DALARNAS LÄN</t>
        </is>
      </c>
      <c r="G177" t="inlineStr">
        <is>
          <t>AVESTA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45912</v>
      </c>
      <c r="E178" s="1" t="n">
        <v>46303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46303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46303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46303</v>
      </c>
      <c r="F181" t="inlineStr">
        <is>
          <t>DALARNAS LÄN</t>
        </is>
      </c>
      <c r="G181" t="inlineStr">
        <is>
          <t>AVESTA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45866</v>
      </c>
      <c r="E182" s="1" t="n">
        <v>46303</v>
      </c>
      <c r="F182" t="inlineStr">
        <is>
          <t>DALARNAS LÄN</t>
        </is>
      </c>
      <c r="G182" t="inlineStr">
        <is>
          <t>AVESTA</t>
        </is>
      </c>
      <c r="I182" t="n">
        <v>10.6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45511</v>
      </c>
      <c r="E183" s="1" t="n">
        <v>46303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46303</v>
      </c>
      <c r="F184" t="inlineStr">
        <is>
          <t>DALARNAS LÄN</t>
        </is>
      </c>
      <c r="G184" t="inlineStr">
        <is>
          <t>AVESTA</t>
        </is>
      </c>
      <c r="I184" t="n">
        <v>12.9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46303</v>
      </c>
      <c r="F185" t="inlineStr">
        <is>
          <t>DALARNAS LÄN</t>
        </is>
      </c>
      <c r="G185" t="inlineStr">
        <is>
          <t>AVESTA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46303</v>
      </c>
      <c r="F186" t="inlineStr">
        <is>
          <t>DALARNAS LÄN</t>
        </is>
      </c>
      <c r="G186" t="inlineStr">
        <is>
          <t>AVESTA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45182</v>
      </c>
      <c r="E187" s="1" t="n">
        <v>46303</v>
      </c>
      <c r="F187" t="inlineStr">
        <is>
          <t>DALARNAS LÄN</t>
        </is>
      </c>
      <c r="G187" t="inlineStr">
        <is>
          <t>AVESTA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46303</v>
      </c>
      <c r="F188" t="inlineStr">
        <is>
          <t>DALARNAS LÄN</t>
        </is>
      </c>
      <c r="G188" t="inlineStr">
        <is>
          <t>AVESTA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45453</v>
      </c>
      <c r="E189" s="1" t="n">
        <v>46303</v>
      </c>
      <c r="F189" t="inlineStr">
        <is>
          <t>DALARNAS LÄN</t>
        </is>
      </c>
      <c r="G189" t="inlineStr">
        <is>
          <t>AVESTA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46303</v>
      </c>
      <c r="F190" t="inlineStr">
        <is>
          <t>DALARNAS LÄN</t>
        </is>
      </c>
      <c r="G190" t="inlineStr">
        <is>
          <t>AVESTA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46303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46146</v>
      </c>
      <c r="E192" s="1" t="n">
        <v>46303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46303</v>
      </c>
      <c r="F193" t="inlineStr">
        <is>
          <t>DALARNAS LÄN</t>
        </is>
      </c>
      <c r="G193" t="inlineStr">
        <is>
          <t>AVESTA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46134</v>
      </c>
      <c r="E194" s="1" t="n">
        <v>46303</v>
      </c>
      <c r="F194" t="inlineStr">
        <is>
          <t>DALARNAS LÄN</t>
        </is>
      </c>
      <c r="G194" t="inlineStr">
        <is>
          <t>AVESTA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32770-2023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45123</v>
      </c>
      <c r="E195" s="1" t="n">
        <v>46303</v>
      </c>
      <c r="F195" t="inlineStr">
        <is>
          <t>DALARNAS LÄN</t>
        </is>
      </c>
      <c r="G195" t="inlineStr">
        <is>
          <t>AVESTA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46303</v>
      </c>
      <c r="F196" t="inlineStr">
        <is>
          <t>DALARNAS LÄN</t>
        </is>
      </c>
      <c r="G196" t="inlineStr">
        <is>
          <t>AVESTA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44614</v>
      </c>
      <c r="E197" s="1" t="n">
        <v>46303</v>
      </c>
      <c r="F197" t="inlineStr">
        <is>
          <t>DALARNAS LÄN</t>
        </is>
      </c>
      <c r="G197" t="inlineStr">
        <is>
          <t>AVESTA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46303</v>
      </c>
      <c r="F198" t="inlineStr">
        <is>
          <t>DALARNAS LÄN</t>
        </is>
      </c>
      <c r="G198" t="inlineStr">
        <is>
          <t>AVESTA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46303</v>
      </c>
      <c r="F199" t="inlineStr">
        <is>
          <t>DALARNAS LÄN</t>
        </is>
      </c>
      <c r="G199" t="inlineStr">
        <is>
          <t>AVESTA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46303</v>
      </c>
      <c r="F200" t="inlineStr">
        <is>
          <t>DALARNAS LÄN</t>
        </is>
      </c>
      <c r="G200" t="inlineStr">
        <is>
          <t>AVESTA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46303</v>
      </c>
      <c r="F201" t="inlineStr">
        <is>
          <t>DALARNAS LÄN</t>
        </is>
      </c>
      <c r="G201" t="inlineStr">
        <is>
          <t>AVESTA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46303</v>
      </c>
      <c r="F202" t="inlineStr">
        <is>
          <t>DALARNAS LÄN</t>
        </is>
      </c>
      <c r="G202" t="inlineStr">
        <is>
          <t>AVESTA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44753</v>
      </c>
      <c r="E203" s="1" t="n">
        <v>46303</v>
      </c>
      <c r="F203" t="inlineStr">
        <is>
          <t>DALARNAS LÄN</t>
        </is>
      </c>
      <c r="G203" t="inlineStr">
        <is>
          <t>AVESTA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46155</v>
      </c>
      <c r="E204" s="1" t="n">
        <v>46303</v>
      </c>
      <c r="F204" t="inlineStr">
        <is>
          <t>DALARNAS LÄN</t>
        </is>
      </c>
      <c r="G204" t="inlineStr">
        <is>
          <t>AVESTA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46303</v>
      </c>
      <c r="F205" t="inlineStr">
        <is>
          <t>DALARNAS LÄN</t>
        </is>
      </c>
      <c r="G205" t="inlineStr">
        <is>
          <t>AVESTA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50681-2024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45602</v>
      </c>
      <c r="E206" s="1" t="n">
        <v>46303</v>
      </c>
      <c r="F206" t="inlineStr">
        <is>
          <t>DALARNAS LÄN</t>
        </is>
      </c>
      <c r="G206" t="inlineStr">
        <is>
          <t>AVESTA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46303</v>
      </c>
      <c r="F207" t="inlineStr">
        <is>
          <t>DALARNAS LÄN</t>
        </is>
      </c>
      <c r="G207" t="inlineStr">
        <is>
          <t>AVESTA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45044</v>
      </c>
      <c r="E208" s="1" t="n">
        <v>46303</v>
      </c>
      <c r="F208" t="inlineStr">
        <is>
          <t>DALARNAS LÄN</t>
        </is>
      </c>
      <c r="G208" t="inlineStr">
        <is>
          <t>AVESTA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61119-2025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46303</v>
      </c>
      <c r="F209" t="inlineStr">
        <is>
          <t>DALARNAS LÄN</t>
        </is>
      </c>
      <c r="G209" t="inlineStr">
        <is>
          <t>AVESTA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46303</v>
      </c>
      <c r="F210" t="inlineStr">
        <is>
          <t>DALARNAS LÄN</t>
        </is>
      </c>
      <c r="G210" t="inlineStr">
        <is>
          <t>AVESTA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45274</v>
      </c>
      <c r="E211" s="1" t="n">
        <v>46303</v>
      </c>
      <c r="F211" t="inlineStr">
        <is>
          <t>DALARNAS LÄN</t>
        </is>
      </c>
      <c r="G211" t="inlineStr">
        <is>
          <t>AVESTA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44971</v>
      </c>
      <c r="E212" s="1" t="n">
        <v>46303</v>
      </c>
      <c r="F212" t="inlineStr">
        <is>
          <t>DALARNAS LÄN</t>
        </is>
      </c>
      <c r="G212" t="inlineStr">
        <is>
          <t>AVESTA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45611</v>
      </c>
      <c r="E213" s="1" t="n">
        <v>46303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45446</v>
      </c>
      <c r="E214" s="1" t="n">
        <v>46303</v>
      </c>
      <c r="F214" t="inlineStr">
        <is>
          <t>DALARNAS LÄN</t>
        </is>
      </c>
      <c r="G214" t="inlineStr">
        <is>
          <t>AVESTA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46303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19359-2025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45769</v>
      </c>
      <c r="E216" s="1" t="n">
        <v>46303</v>
      </c>
      <c r="F216" t="inlineStr">
        <is>
          <t>DALARNAS LÄN</t>
        </is>
      </c>
      <c r="G216" t="inlineStr">
        <is>
          <t>AVESTA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46303</v>
      </c>
      <c r="F217" t="inlineStr">
        <is>
          <t>DALARNAS LÄN</t>
        </is>
      </c>
      <c r="G217" t="inlineStr">
        <is>
          <t>AVESTA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45191</v>
      </c>
      <c r="E218" s="1" t="n">
        <v>46303</v>
      </c>
      <c r="F218" t="inlineStr">
        <is>
          <t>DALARNAS LÄN</t>
        </is>
      </c>
      <c r="G218" t="inlineStr">
        <is>
          <t>AVESTA</t>
        </is>
      </c>
      <c r="H218" t="inlineStr">
        <is>
          <t>Bergvik skog väst AB</t>
        </is>
      </c>
      <c r="I218" t="n">
        <v>12.2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45457</v>
      </c>
      <c r="E219" s="1" t="n">
        <v>46303</v>
      </c>
      <c r="F219" t="inlineStr">
        <is>
          <t>DALARNAS LÄN</t>
        </is>
      </c>
      <c r="G219" t="inlineStr">
        <is>
          <t>AVESTA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50682-2024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45602</v>
      </c>
      <c r="E220" s="1" t="n">
        <v>46303</v>
      </c>
      <c r="F220" t="inlineStr">
        <is>
          <t>DALARNAS LÄN</t>
        </is>
      </c>
      <c r="G220" t="inlineStr">
        <is>
          <t>AVESTA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46303</v>
      </c>
      <c r="F221" t="inlineStr">
        <is>
          <t>DALARNAS LÄN</t>
        </is>
      </c>
      <c r="G221" t="inlineStr">
        <is>
          <t>AVESTA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46303</v>
      </c>
      <c r="F222" t="inlineStr">
        <is>
          <t>DALARNAS LÄN</t>
        </is>
      </c>
      <c r="G222" t="inlineStr">
        <is>
          <t>AVESTA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28108-2022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44746</v>
      </c>
      <c r="E223" s="1" t="n">
        <v>46303</v>
      </c>
      <c r="F223" t="inlineStr">
        <is>
          <t>DALARNAS LÄN</t>
        </is>
      </c>
      <c r="G223" t="inlineStr">
        <is>
          <t>AVESTA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45328</v>
      </c>
      <c r="E224" s="1" t="n">
        <v>46303</v>
      </c>
      <c r="F224" t="inlineStr">
        <is>
          <t>DALARNAS LÄN</t>
        </is>
      </c>
      <c r="G224" t="inlineStr">
        <is>
          <t>AVESTA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46303</v>
      </c>
      <c r="F225" t="inlineStr">
        <is>
          <t>DALARNAS LÄN</t>
        </is>
      </c>
      <c r="G225" t="inlineStr">
        <is>
          <t>AVESTA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46303</v>
      </c>
      <c r="F226" t="inlineStr">
        <is>
          <t>DALARNAS LÄN</t>
        </is>
      </c>
      <c r="G226" t="inlineStr">
        <is>
          <t>AVESTA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46303</v>
      </c>
      <c r="F227" t="inlineStr">
        <is>
          <t>DALARNAS LÄN</t>
        </is>
      </c>
      <c r="G227" t="inlineStr">
        <is>
          <t>AVESTA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45455</v>
      </c>
      <c r="E228" s="1" t="n">
        <v>46303</v>
      </c>
      <c r="F228" t="inlineStr">
        <is>
          <t>DALARNAS LÄN</t>
        </is>
      </c>
      <c r="G228" t="inlineStr">
        <is>
          <t>AVESTA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46303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46303</v>
      </c>
      <c r="F230" t="inlineStr">
        <is>
          <t>DALARNAS LÄN</t>
        </is>
      </c>
      <c r="G230" t="inlineStr">
        <is>
          <t>AVESTA</t>
        </is>
      </c>
      <c r="I230" t="n">
        <v>19.2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47867-2022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44855</v>
      </c>
      <c r="E231" s="1" t="n">
        <v>46303</v>
      </c>
      <c r="F231" t="inlineStr">
        <is>
          <t>DALARNAS LÄN</t>
        </is>
      </c>
      <c r="G231" t="inlineStr">
        <is>
          <t>AVESTA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45348</v>
      </c>
      <c r="E232" s="1" t="n">
        <v>46303</v>
      </c>
      <c r="F232" t="inlineStr">
        <is>
          <t>DALARNAS LÄN</t>
        </is>
      </c>
      <c r="G232" t="inlineStr">
        <is>
          <t>AVESTA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45265</v>
      </c>
      <c r="E233" s="1" t="n">
        <v>46303</v>
      </c>
      <c r="F233" t="inlineStr">
        <is>
          <t>DALARNAS LÄN</t>
        </is>
      </c>
      <c r="G233" t="inlineStr">
        <is>
          <t>AVESTA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46303</v>
      </c>
      <c r="F234" t="inlineStr">
        <is>
          <t>DALARNAS LÄN</t>
        </is>
      </c>
      <c r="G234" t="inlineStr">
        <is>
          <t>AVESTA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45269</v>
      </c>
      <c r="E235" s="1" t="n">
        <v>46303</v>
      </c>
      <c r="F235" t="inlineStr">
        <is>
          <t>DALARNAS LÄN</t>
        </is>
      </c>
      <c r="G235" t="inlineStr">
        <is>
          <t>AVESTA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46303</v>
      </c>
      <c r="F236" t="inlineStr">
        <is>
          <t>DALARNAS LÄN</t>
        </is>
      </c>
      <c r="G236" t="inlineStr">
        <is>
          <t>AVESTA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44875</v>
      </c>
      <c r="E237" s="1" t="n">
        <v>46303</v>
      </c>
      <c r="F237" t="inlineStr">
        <is>
          <t>DALARNAS LÄN</t>
        </is>
      </c>
      <c r="G237" t="inlineStr">
        <is>
          <t>AVESTA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46303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45496</v>
      </c>
      <c r="E239" s="1" t="n">
        <v>46303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45496</v>
      </c>
      <c r="E240" s="1" t="n">
        <v>46303</v>
      </c>
      <c r="F240" t="inlineStr">
        <is>
          <t>DALARNAS LÄN</t>
        </is>
      </c>
      <c r="G240" t="inlineStr">
        <is>
          <t>AVESTA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46303</v>
      </c>
      <c r="F241" t="inlineStr">
        <is>
          <t>DALARNAS LÄN</t>
        </is>
      </c>
      <c r="G241" t="inlineStr">
        <is>
          <t>AVESTA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46124</v>
      </c>
      <c r="E242" s="1" t="n">
        <v>46303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46303</v>
      </c>
      <c r="F243" t="inlineStr">
        <is>
          <t>DALARNAS LÄN</t>
        </is>
      </c>
      <c r="G243" t="inlineStr">
        <is>
          <t>AVESTA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46045</v>
      </c>
      <c r="E244" s="1" t="n">
        <v>46303</v>
      </c>
      <c r="F244" t="inlineStr">
        <is>
          <t>DALARNAS LÄN</t>
        </is>
      </c>
      <c r="G244" t="inlineStr">
        <is>
          <t>AVESTA</t>
        </is>
      </c>
      <c r="H244" t="inlineStr">
        <is>
          <t>Bergvik skog väst AB</t>
        </is>
      </c>
      <c r="I244" t="n">
        <v>12.1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46303</v>
      </c>
      <c r="F245" t="inlineStr">
        <is>
          <t>DALARNAS LÄN</t>
        </is>
      </c>
      <c r="G245" t="inlineStr">
        <is>
          <t>AVESTA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46303</v>
      </c>
      <c r="F246" t="inlineStr">
        <is>
          <t>DALARNAS LÄN</t>
        </is>
      </c>
      <c r="G246" t="inlineStr">
        <is>
          <t>AVESTA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46303</v>
      </c>
      <c r="F247" t="inlineStr">
        <is>
          <t>DALARNAS LÄN</t>
        </is>
      </c>
      <c r="G247" t="inlineStr">
        <is>
          <t>AVESTA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26816-2026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46185</v>
      </c>
      <c r="E248" s="1" t="n">
        <v>46303</v>
      </c>
      <c r="F248" t="inlineStr">
        <is>
          <t>DALARNAS LÄN</t>
        </is>
      </c>
      <c r="G248" t="inlineStr">
        <is>
          <t>AVESTA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46303</v>
      </c>
      <c r="F249" t="inlineStr">
        <is>
          <t>DALARNAS LÄN</t>
        </is>
      </c>
      <c r="G249" t="inlineStr">
        <is>
          <t>AVESTA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46303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46303</v>
      </c>
      <c r="F251" t="inlineStr">
        <is>
          <t>DALARNAS LÄN</t>
        </is>
      </c>
      <c r="G251" t="inlineStr">
        <is>
          <t>AVESTA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46062</v>
      </c>
      <c r="E252" s="1" t="n">
        <v>46303</v>
      </c>
      <c r="F252" t="inlineStr">
        <is>
          <t>DALARNAS LÄN</t>
        </is>
      </c>
      <c r="G252" t="inlineStr">
        <is>
          <t>AVESTA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46303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46303</v>
      </c>
      <c r="F254" t="inlineStr">
        <is>
          <t>DALARNAS LÄN</t>
        </is>
      </c>
      <c r="G254" t="inlineStr">
        <is>
          <t>AVESTA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46303</v>
      </c>
      <c r="F255" t="inlineStr">
        <is>
          <t>DALARNAS LÄN</t>
        </is>
      </c>
      <c r="G255" t="inlineStr">
        <is>
          <t>AVESTA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46303</v>
      </c>
      <c r="F256" t="inlineStr">
        <is>
          <t>DALARNAS LÄN</t>
        </is>
      </c>
      <c r="G256" t="inlineStr">
        <is>
          <t>AVESTA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28227-2026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46196</v>
      </c>
      <c r="E257" s="1" t="n">
        <v>46303</v>
      </c>
      <c r="F257" t="inlineStr">
        <is>
          <t>DALARNAS LÄN</t>
        </is>
      </c>
      <c r="G257" t="inlineStr">
        <is>
          <t>AVESTA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46303</v>
      </c>
      <c r="F258" t="inlineStr">
        <is>
          <t>DALARNAS LÄN</t>
        </is>
      </c>
      <c r="G258" t="inlineStr">
        <is>
          <t>AVESTA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46303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46303</v>
      </c>
      <c r="F260" t="inlineStr">
        <is>
          <t>DALARNAS LÄN</t>
        </is>
      </c>
      <c r="G260" t="inlineStr">
        <is>
          <t>AVESTA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46303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46303</v>
      </c>
      <c r="F262" t="inlineStr">
        <is>
          <t>DALARNAS LÄN</t>
        </is>
      </c>
      <c r="G262" t="inlineStr">
        <is>
          <t>AVESTA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46303</v>
      </c>
      <c r="F263" t="inlineStr">
        <is>
          <t>DALARNAS LÄN</t>
        </is>
      </c>
      <c r="G263" t="inlineStr">
        <is>
          <t>AVESTA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45527</v>
      </c>
      <c r="E264" s="1" t="n">
        <v>46303</v>
      </c>
      <c r="F264" t="inlineStr">
        <is>
          <t>DALARNAS LÄN</t>
        </is>
      </c>
      <c r="G264" t="inlineStr">
        <is>
          <t>AVESTA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18042-2023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45040</v>
      </c>
      <c r="E265" s="1" t="n">
        <v>46303</v>
      </c>
      <c r="F265" t="inlineStr">
        <is>
          <t>DALARNAS LÄN</t>
        </is>
      </c>
      <c r="G265" t="inlineStr">
        <is>
          <t>AVESTA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45190</v>
      </c>
      <c r="E266" s="1" t="n">
        <v>46303</v>
      </c>
      <c r="F266" t="inlineStr">
        <is>
          <t>DALARNAS LÄN</t>
        </is>
      </c>
      <c r="G266" t="inlineStr">
        <is>
          <t>AVESTA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18679-2022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44687</v>
      </c>
      <c r="E267" s="1" t="n">
        <v>46303</v>
      </c>
      <c r="F267" t="inlineStr">
        <is>
          <t>DALARNAS LÄN</t>
        </is>
      </c>
      <c r="G267" t="inlineStr">
        <is>
          <t>AVESTA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45598</v>
      </c>
      <c r="E268" s="1" t="n">
        <v>46303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46303</v>
      </c>
      <c r="F269" t="inlineStr">
        <is>
          <t>DALARNAS LÄN</t>
        </is>
      </c>
      <c r="G269" t="inlineStr">
        <is>
          <t>AVESTA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46303</v>
      </c>
      <c r="F270" t="inlineStr">
        <is>
          <t>DALARNAS LÄN</t>
        </is>
      </c>
      <c r="G270" t="inlineStr">
        <is>
          <t>AVESTA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46303</v>
      </c>
      <c r="F271" t="inlineStr">
        <is>
          <t>DALARNAS LÄN</t>
        </is>
      </c>
      <c r="G271" t="inlineStr">
        <is>
          <t>AVESTA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46303</v>
      </c>
      <c r="F272" t="inlineStr">
        <is>
          <t>DALARNAS LÄN</t>
        </is>
      </c>
      <c r="G272" t="inlineStr">
        <is>
          <t>AVESTA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46303</v>
      </c>
      <c r="F273" t="inlineStr">
        <is>
          <t>DALARNAS LÄN</t>
        </is>
      </c>
      <c r="G273" t="inlineStr">
        <is>
          <t>AVESTA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46303</v>
      </c>
      <c r="F274" t="inlineStr">
        <is>
          <t>DALARNAS LÄN</t>
        </is>
      </c>
      <c r="G274" t="inlineStr">
        <is>
          <t>AVESTA</t>
        </is>
      </c>
      <c r="I274" t="n">
        <v>8.4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46303</v>
      </c>
      <c r="F275" t="inlineStr">
        <is>
          <t>DALARNAS LÄN</t>
        </is>
      </c>
      <c r="G275" t="inlineStr">
        <is>
          <t>AVESTA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46303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18679-2026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46128</v>
      </c>
      <c r="E277" s="1" t="n">
        <v>46303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46303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45593</v>
      </c>
      <c r="E279" s="1" t="n">
        <v>46303</v>
      </c>
      <c r="F279" t="inlineStr">
        <is>
          <t>DALARNAS LÄN</t>
        </is>
      </c>
      <c r="G279" t="inlineStr">
        <is>
          <t>AVESTA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46128</v>
      </c>
      <c r="E280" s="1" t="n">
        <v>46303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46128</v>
      </c>
      <c r="E281" s="1" t="n">
        <v>46303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46303</v>
      </c>
      <c r="F282" t="inlineStr">
        <is>
          <t>DALARNAS LÄN</t>
        </is>
      </c>
      <c r="G282" t="inlineStr">
        <is>
          <t>AVESTA</t>
        </is>
      </c>
      <c r="I282" t="n">
        <v>17.6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46303</v>
      </c>
      <c r="F283" t="inlineStr">
        <is>
          <t>DALARNAS LÄN</t>
        </is>
      </c>
      <c r="G283" t="inlineStr">
        <is>
          <t>AVESTA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45734</v>
      </c>
      <c r="E284" s="1" t="n">
        <v>46303</v>
      </c>
      <c r="F284" t="inlineStr">
        <is>
          <t>DALARNAS LÄN</t>
        </is>
      </c>
      <c r="G284" t="inlineStr">
        <is>
          <t>AVESTA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46303</v>
      </c>
      <c r="F285" t="inlineStr">
        <is>
          <t>DALARNAS LÄN</t>
        </is>
      </c>
      <c r="G285" t="inlineStr">
        <is>
          <t>AVESTA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46261</v>
      </c>
      <c r="E286" s="1" t="n">
        <v>46303</v>
      </c>
      <c r="F286" t="inlineStr">
        <is>
          <t>DALARNAS LÄN</t>
        </is>
      </c>
      <c r="G286" t="inlineStr">
        <is>
          <t>AVESTA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46679-2024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45583</v>
      </c>
      <c r="E287" s="1" t="n">
        <v>46303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46303</v>
      </c>
      <c r="F288" t="inlineStr">
        <is>
          <t>DALARNAS LÄN</t>
        </is>
      </c>
      <c r="G288" t="inlineStr">
        <is>
          <t>AVESTA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46223</v>
      </c>
      <c r="E289" s="1" t="n">
        <v>46303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21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46303</v>
      </c>
      <c r="F290" t="inlineStr">
        <is>
          <t>DALARNAS LÄN</t>
        </is>
      </c>
      <c r="G290" t="inlineStr">
        <is>
          <t>AVESTA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46303</v>
      </c>
      <c r="F291" t="inlineStr">
        <is>
          <t>DALARNAS LÄN</t>
        </is>
      </c>
      <c r="G291" t="inlineStr">
        <is>
          <t>AVESTA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46303</v>
      </c>
      <c r="F292" t="inlineStr">
        <is>
          <t>DALARNAS LÄN</t>
        </is>
      </c>
      <c r="G292" t="inlineStr">
        <is>
          <t>AVESTA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45008</v>
      </c>
      <c r="E293" s="1" t="n">
        <v>46303</v>
      </c>
      <c r="F293" t="inlineStr">
        <is>
          <t>DALARNAS LÄN</t>
        </is>
      </c>
      <c r="G293" t="inlineStr">
        <is>
          <t>AVESTA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45007</v>
      </c>
      <c r="E294" s="1" t="n">
        <v>46303</v>
      </c>
      <c r="F294" t="inlineStr">
        <is>
          <t>DALARNAS LÄN</t>
        </is>
      </c>
      <c r="G294" t="inlineStr">
        <is>
          <t>AVESTA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45252</v>
      </c>
      <c r="E295" s="1" t="n">
        <v>46303</v>
      </c>
      <c r="F295" t="inlineStr">
        <is>
          <t>DALARNAS LÄN</t>
        </is>
      </c>
      <c r="G295" t="inlineStr">
        <is>
          <t>AVESTA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8523-2023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46303</v>
      </c>
      <c r="F296" t="inlineStr">
        <is>
          <t>DALARNAS LÄN</t>
        </is>
      </c>
      <c r="G296" t="inlineStr">
        <is>
          <t>AVESTA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45007</v>
      </c>
      <c r="E297" s="1" t="n">
        <v>46303</v>
      </c>
      <c r="F297" t="inlineStr">
        <is>
          <t>DALARNAS LÄN</t>
        </is>
      </c>
      <c r="G297" t="inlineStr">
        <is>
          <t>AVESTA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44809</v>
      </c>
      <c r="E298" s="1" t="n">
        <v>46303</v>
      </c>
      <c r="F298" t="inlineStr">
        <is>
          <t>DALARNAS LÄN</t>
        </is>
      </c>
      <c r="G298" t="inlineStr">
        <is>
          <t>AVESTA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63519-2021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44508</v>
      </c>
      <c r="E299" s="1" t="n">
        <v>46303</v>
      </c>
      <c r="F299" t="inlineStr">
        <is>
          <t>DALARNAS LÄN</t>
        </is>
      </c>
      <c r="G299" t="inlineStr">
        <is>
          <t>AVESTA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45505</v>
      </c>
      <c r="E300" s="1" t="n">
        <v>46303</v>
      </c>
      <c r="F300" t="inlineStr">
        <is>
          <t>DALARNAS LÄN</t>
        </is>
      </c>
      <c r="G300" t="inlineStr">
        <is>
          <t>AVESTA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45321</v>
      </c>
      <c r="E301" s="1" t="n">
        <v>46303</v>
      </c>
      <c r="F301" t="inlineStr">
        <is>
          <t>DALARNAS LÄN</t>
        </is>
      </c>
      <c r="G301" t="inlineStr">
        <is>
          <t>AVESTA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44971</v>
      </c>
      <c r="E302" s="1" t="n">
        <v>46303</v>
      </c>
      <c r="F302" t="inlineStr">
        <is>
          <t>DALARNAS LÄN</t>
        </is>
      </c>
      <c r="G302" t="inlineStr">
        <is>
          <t>AVESTA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45123</v>
      </c>
      <c r="E303" s="1" t="n">
        <v>46303</v>
      </c>
      <c r="F303" t="inlineStr">
        <is>
          <t>DALARNAS LÄN</t>
        </is>
      </c>
      <c r="G303" t="inlineStr">
        <is>
          <t>AVESTA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32771-2023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45123</v>
      </c>
      <c r="E304" s="1" t="n">
        <v>46303</v>
      </c>
      <c r="F304" t="inlineStr">
        <is>
          <t>DALARNAS LÄN</t>
        </is>
      </c>
      <c r="G304" t="inlineStr">
        <is>
          <t>AVESTA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46303</v>
      </c>
      <c r="F305" t="inlineStr">
        <is>
          <t>DALARNAS LÄN</t>
        </is>
      </c>
      <c r="G305" t="inlineStr">
        <is>
          <t>AVESTA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46303</v>
      </c>
      <c r="F306" t="inlineStr">
        <is>
          <t>DALARNAS LÄN</t>
        </is>
      </c>
      <c r="G306" t="inlineStr">
        <is>
          <t>AVESTA</t>
        </is>
      </c>
      <c r="H306" t="inlineStr">
        <is>
          <t>Bergvik skog väst AB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46303</v>
      </c>
      <c r="F307" t="inlineStr">
        <is>
          <t>DALARNAS LÄN</t>
        </is>
      </c>
      <c r="G307" t="inlineStr">
        <is>
          <t>AVESTA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46275</v>
      </c>
      <c r="E308" s="1" t="n">
        <v>46303</v>
      </c>
      <c r="F308" t="inlineStr">
        <is>
          <t>DALARNAS LÄN</t>
        </is>
      </c>
      <c r="G308" t="inlineStr">
        <is>
          <t>AVESTA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38554-2026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46283</v>
      </c>
      <c r="E309" s="1" t="n">
        <v>46303</v>
      </c>
      <c r="F309" t="inlineStr">
        <is>
          <t>DALARNAS LÄN</t>
        </is>
      </c>
      <c r="G309" t="inlineStr">
        <is>
          <t>AVESTA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46283</v>
      </c>
      <c r="E310" s="1" t="n">
        <v>46303</v>
      </c>
      <c r="F310" t="inlineStr">
        <is>
          <t>DALARNAS LÄN</t>
        </is>
      </c>
      <c r="G310" t="inlineStr">
        <is>
          <t>AVESTA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46303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46303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46303</v>
      </c>
      <c r="F313" t="inlineStr">
        <is>
          <t>DALARNAS LÄN</t>
        </is>
      </c>
      <c r="G313" t="inlineStr">
        <is>
          <t>AVESTA</t>
        </is>
      </c>
      <c r="H313" t="inlineStr">
        <is>
          <t>Bergvik skog väst AB</t>
        </is>
      </c>
      <c r="I313" t="n">
        <v>49.9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46303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46246</v>
      </c>
      <c r="E315" s="1" t="n">
        <v>46303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46184</v>
      </c>
      <c r="E316" s="1" t="n">
        <v>46303</v>
      </c>
      <c r="F316" t="inlineStr">
        <is>
          <t>DALARNAS LÄN</t>
        </is>
      </c>
      <c r="G316" t="inlineStr">
        <is>
          <t>AVESTA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45877</v>
      </c>
      <c r="E317" s="1" t="n">
        <v>46303</v>
      </c>
      <c r="F317" t="inlineStr">
        <is>
          <t>DALARNAS LÄN</t>
        </is>
      </c>
      <c r="G317" t="inlineStr">
        <is>
          <t>AVESTA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46303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46296</v>
      </c>
      <c r="E319" s="1" t="n">
        <v>46303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46303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46297</v>
      </c>
      <c r="E321" s="1" t="n">
        <v>46303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46252</v>
      </c>
      <c r="E322" s="1" t="n">
        <v>46303</v>
      </c>
      <c r="F322" t="inlineStr">
        <is>
          <t>DALARNAS LÄN</t>
        </is>
      </c>
      <c r="G322" t="inlineStr">
        <is>
          <t>AVESTA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46301</v>
      </c>
      <c r="E323" s="1" t="n">
        <v>46303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46301</v>
      </c>
      <c r="E324" s="1" t="n">
        <v>46303</v>
      </c>
      <c r="F324" t="inlineStr">
        <is>
          <t>DALARNAS LÄN</t>
        </is>
      </c>
      <c r="G324" t="inlineStr">
        <is>
          <t>AVESTA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46301</v>
      </c>
      <c r="E325" s="1" t="n">
        <v>46303</v>
      </c>
      <c r="F325" t="inlineStr">
        <is>
          <t>DALARNAS LÄN</t>
        </is>
      </c>
      <c r="G325" t="inlineStr">
        <is>
          <t>AVESTA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843-2024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46303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396-2022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44585</v>
      </c>
      <c r="E327" s="1" t="n">
        <v>46303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197-2024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45315</v>
      </c>
      <c r="E328" s="1" t="n">
        <v>46303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öst AB</t>
        </is>
      </c>
      <c r="I328" t="n">
        <v>149.1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50-2024</t>
        </is>
      </c>
      <c r="B329" t="inlineStr">
        <is>
          <t>samrådsanmälan</t>
        </is>
      </c>
      <c r="C329" t="inlineStr">
        <is>
          <t>Skogsbilväg</t>
        </is>
      </c>
      <c r="D329" s="1" t="n">
        <v>45296</v>
      </c>
      <c r="E329" s="1" t="n">
        <v>46303</v>
      </c>
      <c r="F329" t="inlineStr">
        <is>
          <t>DALARNAS LÄN</t>
        </is>
      </c>
      <c r="G329" t="inlineStr">
        <is>
          <t>AVESTA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861-2024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45373</v>
      </c>
      <c r="E330" s="1" t="n">
        <v>46303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709-2025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45720</v>
      </c>
      <c r="E331" s="1" t="n">
        <v>46303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136.3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2297-2025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45880</v>
      </c>
      <c r="E332" s="1" t="n">
        <v>46303</v>
      </c>
      <c r="F332" t="inlineStr">
        <is>
          <t>DALARNAS LÄN</t>
        </is>
      </c>
      <c r="G332" t="inlineStr">
        <is>
          <t>AVESTA</t>
        </is>
      </c>
      <c r="I332" t="n">
        <v>98.7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595-2026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46085</v>
      </c>
      <c r="E333" s="1" t="n">
        <v>46303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28.9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2026-10-08T02:06:16Z</dcterms:created>
  <dcterms:modified xmlns:dcterms="http://purl.org/dc/terms/" xmlns:xsi="http://www.w3.org/2001/XMLSchema-instance" xsi:type="dcterms:W3CDTF">2026-10-08T02:06:17Z</dcterms:modified>
</cp:coreProperties>
</file>