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3">
    <numFmt numFmtId="164" formatCode="yyyy-mm-dd h:mm:ss"/>
    <numFmt numFmtId="165" formatCode="YYYY-MM-DD"/>
    <numFmt numFmtId="166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369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14785-2023</t>
        </is>
      </c>
      <c r="B2" s="1" t="n">
        <v>45014</v>
      </c>
      <c r="C2" s="1" t="n">
        <v>45998</v>
      </c>
      <c r="D2" t="inlineStr">
        <is>
          <t>DALARNAS LÄN</t>
        </is>
      </c>
      <c r="E2" t="inlineStr">
        <is>
          <t>AVESTA</t>
        </is>
      </c>
      <c r="G2" t="n">
        <v>6.7</v>
      </c>
      <c r="H2" t="n">
        <v>1</v>
      </c>
      <c r="I2" t="n">
        <v>4</v>
      </c>
      <c r="J2" t="n">
        <v>0</v>
      </c>
      <c r="K2" t="n">
        <v>0</v>
      </c>
      <c r="L2" t="n">
        <v>4</v>
      </c>
      <c r="M2" t="n">
        <v>0</v>
      </c>
      <c r="N2" t="n">
        <v>0</v>
      </c>
      <c r="O2" t="n">
        <v>4</v>
      </c>
      <c r="P2" t="n">
        <v>4</v>
      </c>
      <c r="Q2" t="n">
        <v>8</v>
      </c>
      <c r="R2" s="2" t="inlineStr">
        <is>
          <t>Gråblå skinnlav
Mikroskapania
Svämskapania
Timmerskapania
Korallblylav
Piskbaronmossa
Skinnlav
Trubbfjädermossa</t>
        </is>
      </c>
      <c r="S2">
        <f>HYPERLINK("https://klasma.github.io/Logging_2084/artfynd/A 14785-2023 artfynd.xlsx", "A 14785-2023")</f>
        <v/>
      </c>
      <c r="T2">
        <f>HYPERLINK("https://klasma.github.io/Logging_2084/kartor/A 14785-2023 karta.png", "A 14785-2023")</f>
        <v/>
      </c>
      <c r="V2">
        <f>HYPERLINK("https://klasma.github.io/Logging_2084/klagomål/A 14785-2023 FSC-klagomål.docx", "A 14785-2023")</f>
        <v/>
      </c>
      <c r="W2">
        <f>HYPERLINK("https://klasma.github.io/Logging_2084/klagomålsmail/A 14785-2023 FSC-klagomål mail.docx", "A 14785-2023")</f>
        <v/>
      </c>
      <c r="X2">
        <f>HYPERLINK("https://klasma.github.io/Logging_2084/tillsyn/A 14785-2023 tillsynsbegäran.docx", "A 14785-2023")</f>
        <v/>
      </c>
      <c r="Y2">
        <f>HYPERLINK("https://klasma.github.io/Logging_2084/tillsynsmail/A 14785-2023 tillsynsbegäran mail.docx", "A 14785-2023")</f>
        <v/>
      </c>
    </row>
    <row r="3" ht="15" customHeight="1">
      <c r="A3" t="inlineStr">
        <is>
          <t>A 35844-2021</t>
        </is>
      </c>
      <c r="B3" s="1" t="n">
        <v>44386</v>
      </c>
      <c r="C3" s="1" t="n">
        <v>45998</v>
      </c>
      <c r="D3" t="inlineStr">
        <is>
          <t>DALARNAS LÄN</t>
        </is>
      </c>
      <c r="E3" t="inlineStr">
        <is>
          <t>AVESTA</t>
        </is>
      </c>
      <c r="F3" t="inlineStr">
        <is>
          <t>Sveaskog</t>
        </is>
      </c>
      <c r="G3" t="n">
        <v>4.4</v>
      </c>
      <c r="H3" t="n">
        <v>4</v>
      </c>
      <c r="I3" t="n">
        <v>3</v>
      </c>
      <c r="J3" t="n">
        <v>2</v>
      </c>
      <c r="K3" t="n">
        <v>0</v>
      </c>
      <c r="L3" t="n">
        <v>0</v>
      </c>
      <c r="M3" t="n">
        <v>0</v>
      </c>
      <c r="N3" t="n">
        <v>0</v>
      </c>
      <c r="O3" t="n">
        <v>2</v>
      </c>
      <c r="P3" t="n">
        <v>0</v>
      </c>
      <c r="Q3" t="n">
        <v>7</v>
      </c>
      <c r="R3" s="2" t="inlineStr">
        <is>
          <t>Spillkråka
Talltita
Bollvitmossa
Bronshjon
Nästlav
Fläcknycklar
Revlummer</t>
        </is>
      </c>
      <c r="S3">
        <f>HYPERLINK("https://klasma.github.io/Logging_2084/artfynd/A 35844-2021 artfynd.xlsx", "A 35844-2021")</f>
        <v/>
      </c>
      <c r="T3">
        <f>HYPERLINK("https://klasma.github.io/Logging_2084/kartor/A 35844-2021 karta.png", "A 35844-2021")</f>
        <v/>
      </c>
      <c r="V3">
        <f>HYPERLINK("https://klasma.github.io/Logging_2084/klagomål/A 35844-2021 FSC-klagomål.docx", "A 35844-2021")</f>
        <v/>
      </c>
      <c r="W3">
        <f>HYPERLINK("https://klasma.github.io/Logging_2084/klagomålsmail/A 35844-2021 FSC-klagomål mail.docx", "A 35844-2021")</f>
        <v/>
      </c>
      <c r="X3">
        <f>HYPERLINK("https://klasma.github.io/Logging_2084/tillsyn/A 35844-2021 tillsynsbegäran.docx", "A 35844-2021")</f>
        <v/>
      </c>
      <c r="Y3">
        <f>HYPERLINK("https://klasma.github.io/Logging_2084/tillsynsmail/A 35844-2021 tillsynsbegäran mail.docx", "A 35844-2021")</f>
        <v/>
      </c>
      <c r="Z3">
        <f>HYPERLINK("https://klasma.github.io/Logging_2084/fåglar/A 35844-2021 prioriterade fågelarter.docx", "A 35844-2021")</f>
        <v/>
      </c>
    </row>
    <row r="4" ht="15" customHeight="1">
      <c r="A4" t="inlineStr">
        <is>
          <t>A 31875-2025</t>
        </is>
      </c>
      <c r="B4" s="1" t="n">
        <v>45834</v>
      </c>
      <c r="C4" s="1" t="n">
        <v>45998</v>
      </c>
      <c r="D4" t="inlineStr">
        <is>
          <t>DALARNAS LÄN</t>
        </is>
      </c>
      <c r="E4" t="inlineStr">
        <is>
          <t>AVESTA</t>
        </is>
      </c>
      <c r="G4" t="n">
        <v>2.6</v>
      </c>
      <c r="H4" t="n">
        <v>6</v>
      </c>
      <c r="I4" t="n">
        <v>0</v>
      </c>
      <c r="J4" t="n">
        <v>5</v>
      </c>
      <c r="K4" t="n">
        <v>0</v>
      </c>
      <c r="L4" t="n">
        <v>1</v>
      </c>
      <c r="M4" t="n">
        <v>0</v>
      </c>
      <c r="N4" t="n">
        <v>0</v>
      </c>
      <c r="O4" t="n">
        <v>6</v>
      </c>
      <c r="P4" t="n">
        <v>1</v>
      </c>
      <c r="Q4" t="n">
        <v>6</v>
      </c>
      <c r="R4" s="2" t="inlineStr">
        <is>
          <t>Grönfink
Björktrast
Entita
Gulsparv
Rödvingetrast
Talltita</t>
        </is>
      </c>
      <c r="S4">
        <f>HYPERLINK("https://klasma.github.io/Logging_2084/artfynd/A 31875-2025 artfynd.xlsx", "A 31875-2025")</f>
        <v/>
      </c>
      <c r="T4">
        <f>HYPERLINK("https://klasma.github.io/Logging_2084/kartor/A 31875-2025 karta.png", "A 31875-2025")</f>
        <v/>
      </c>
      <c r="V4">
        <f>HYPERLINK("https://klasma.github.io/Logging_2084/klagomål/A 31875-2025 FSC-klagomål.docx", "A 31875-2025")</f>
        <v/>
      </c>
      <c r="W4">
        <f>HYPERLINK("https://klasma.github.io/Logging_2084/klagomålsmail/A 31875-2025 FSC-klagomål mail.docx", "A 31875-2025")</f>
        <v/>
      </c>
      <c r="X4">
        <f>HYPERLINK("https://klasma.github.io/Logging_2084/tillsyn/A 31875-2025 tillsynsbegäran.docx", "A 31875-2025")</f>
        <v/>
      </c>
      <c r="Y4">
        <f>HYPERLINK("https://klasma.github.io/Logging_2084/tillsynsmail/A 31875-2025 tillsynsbegäran mail.docx", "A 31875-2025")</f>
        <v/>
      </c>
      <c r="Z4">
        <f>HYPERLINK("https://klasma.github.io/Logging_2084/fåglar/A 31875-2025 prioriterade fågelarter.docx", "A 31875-2025")</f>
        <v/>
      </c>
    </row>
    <row r="5" ht="15" customHeight="1">
      <c r="A5" t="inlineStr">
        <is>
          <t>A 36468-2021</t>
        </is>
      </c>
      <c r="B5" s="1" t="n">
        <v>44390</v>
      </c>
      <c r="C5" s="1" t="n">
        <v>45998</v>
      </c>
      <c r="D5" t="inlineStr">
        <is>
          <t>DALARNAS LÄN</t>
        </is>
      </c>
      <c r="E5" t="inlineStr">
        <is>
          <t>AVESTA</t>
        </is>
      </c>
      <c r="F5" t="inlineStr">
        <is>
          <t>Bergvik skog väst AB</t>
        </is>
      </c>
      <c r="G5" t="n">
        <v>3.9</v>
      </c>
      <c r="H5" t="n">
        <v>0</v>
      </c>
      <c r="I5" t="n">
        <v>3</v>
      </c>
      <c r="J5" t="n">
        <v>1</v>
      </c>
      <c r="K5" t="n">
        <v>0</v>
      </c>
      <c r="L5" t="n">
        <v>0</v>
      </c>
      <c r="M5" t="n">
        <v>0</v>
      </c>
      <c r="N5" t="n">
        <v>0</v>
      </c>
      <c r="O5" t="n">
        <v>1</v>
      </c>
      <c r="P5" t="n">
        <v>0</v>
      </c>
      <c r="Q5" t="n">
        <v>4</v>
      </c>
      <c r="R5" s="2" t="inlineStr">
        <is>
          <t>Vedtrappmossa
Bronshjon
Jättesvampmal
Vedticka</t>
        </is>
      </c>
      <c r="S5">
        <f>HYPERLINK("https://klasma.github.io/Logging_2084/artfynd/A 36468-2021 artfynd.xlsx", "A 36468-2021")</f>
        <v/>
      </c>
      <c r="T5">
        <f>HYPERLINK("https://klasma.github.io/Logging_2084/kartor/A 36468-2021 karta.png", "A 36468-2021")</f>
        <v/>
      </c>
      <c r="V5">
        <f>HYPERLINK("https://klasma.github.io/Logging_2084/klagomål/A 36468-2021 FSC-klagomål.docx", "A 36468-2021")</f>
        <v/>
      </c>
      <c r="W5">
        <f>HYPERLINK("https://klasma.github.io/Logging_2084/klagomålsmail/A 36468-2021 FSC-klagomål mail.docx", "A 36468-2021")</f>
        <v/>
      </c>
      <c r="X5">
        <f>HYPERLINK("https://klasma.github.io/Logging_2084/tillsyn/A 36468-2021 tillsynsbegäran.docx", "A 36468-2021")</f>
        <v/>
      </c>
      <c r="Y5">
        <f>HYPERLINK("https://klasma.github.io/Logging_2084/tillsynsmail/A 36468-2021 tillsynsbegäran mail.docx", "A 36468-2021")</f>
        <v/>
      </c>
    </row>
    <row r="6" ht="15" customHeight="1">
      <c r="A6" t="inlineStr">
        <is>
          <t>A 31138-2023</t>
        </is>
      </c>
      <c r="B6" s="1" t="n">
        <v>45103</v>
      </c>
      <c r="C6" s="1" t="n">
        <v>45998</v>
      </c>
      <c r="D6" t="inlineStr">
        <is>
          <t>DALARNAS LÄN</t>
        </is>
      </c>
      <c r="E6" t="inlineStr">
        <is>
          <t>AVESTA</t>
        </is>
      </c>
      <c r="F6" t="inlineStr">
        <is>
          <t>Bergvik skog väst AB</t>
        </is>
      </c>
      <c r="G6" t="n">
        <v>4.3</v>
      </c>
      <c r="H6" t="n">
        <v>0</v>
      </c>
      <c r="I6" t="n">
        <v>2</v>
      </c>
      <c r="J6" t="n">
        <v>0</v>
      </c>
      <c r="K6" t="n">
        <v>2</v>
      </c>
      <c r="L6" t="n">
        <v>0</v>
      </c>
      <c r="M6" t="n">
        <v>0</v>
      </c>
      <c r="N6" t="n">
        <v>0</v>
      </c>
      <c r="O6" t="n">
        <v>2</v>
      </c>
      <c r="P6" t="n">
        <v>2</v>
      </c>
      <c r="Q6" t="n">
        <v>4</v>
      </c>
      <c r="R6" s="2" t="inlineStr">
        <is>
          <t>Klosterlav
Liten blekspik
Dvärgtufs
Rostfläck</t>
        </is>
      </c>
      <c r="S6">
        <f>HYPERLINK("https://klasma.github.io/Logging_2084/artfynd/A 31138-2023 artfynd.xlsx", "A 31138-2023")</f>
        <v/>
      </c>
      <c r="T6">
        <f>HYPERLINK("https://klasma.github.io/Logging_2084/kartor/A 31138-2023 karta.png", "A 31138-2023")</f>
        <v/>
      </c>
      <c r="V6">
        <f>HYPERLINK("https://klasma.github.io/Logging_2084/klagomål/A 31138-2023 FSC-klagomål.docx", "A 31138-2023")</f>
        <v/>
      </c>
      <c r="W6">
        <f>HYPERLINK("https://klasma.github.io/Logging_2084/klagomålsmail/A 31138-2023 FSC-klagomål mail.docx", "A 31138-2023")</f>
        <v/>
      </c>
      <c r="X6">
        <f>HYPERLINK("https://klasma.github.io/Logging_2084/tillsyn/A 31138-2023 tillsynsbegäran.docx", "A 31138-2023")</f>
        <v/>
      </c>
      <c r="Y6">
        <f>HYPERLINK("https://klasma.github.io/Logging_2084/tillsynsmail/A 31138-2023 tillsynsbegäran mail.docx", "A 31138-2023")</f>
        <v/>
      </c>
    </row>
    <row r="7" ht="15" customHeight="1">
      <c r="A7" t="inlineStr">
        <is>
          <t>A 20396-2022</t>
        </is>
      </c>
      <c r="B7" s="1" t="n">
        <v>44699</v>
      </c>
      <c r="C7" s="1" t="n">
        <v>45998</v>
      </c>
      <c r="D7" t="inlineStr">
        <is>
          <t>DALARNAS LÄN</t>
        </is>
      </c>
      <c r="E7" t="inlineStr">
        <is>
          <t>AVESTA</t>
        </is>
      </c>
      <c r="G7" t="n">
        <v>3.3</v>
      </c>
      <c r="H7" t="n">
        <v>3</v>
      </c>
      <c r="I7" t="n">
        <v>2</v>
      </c>
      <c r="J7" t="n">
        <v>1</v>
      </c>
      <c r="K7" t="n">
        <v>1</v>
      </c>
      <c r="L7" t="n">
        <v>0</v>
      </c>
      <c r="M7" t="n">
        <v>0</v>
      </c>
      <c r="N7" t="n">
        <v>0</v>
      </c>
      <c r="O7" t="n">
        <v>2</v>
      </c>
      <c r="P7" t="n">
        <v>1</v>
      </c>
      <c r="Q7" t="n">
        <v>4</v>
      </c>
      <c r="R7" s="2" t="inlineStr">
        <is>
          <t>Knärot
Spillkråka
Bollvitmossa
Korallrot</t>
        </is>
      </c>
      <c r="S7">
        <f>HYPERLINK("https://klasma.github.io/Logging_2084/artfynd/A 20396-2022 artfynd.xlsx", "A 20396-2022")</f>
        <v/>
      </c>
      <c r="T7">
        <f>HYPERLINK("https://klasma.github.io/Logging_2084/kartor/A 20396-2022 karta.png", "A 20396-2022")</f>
        <v/>
      </c>
      <c r="U7">
        <f>HYPERLINK("https://klasma.github.io/Logging_2084/knärot/A 20396-2022 karta knärot.png", "A 20396-2022")</f>
        <v/>
      </c>
      <c r="V7">
        <f>HYPERLINK("https://klasma.github.io/Logging_2084/klagomål/A 20396-2022 FSC-klagomål.docx", "A 20396-2022")</f>
        <v/>
      </c>
      <c r="W7">
        <f>HYPERLINK("https://klasma.github.io/Logging_2084/klagomålsmail/A 20396-2022 FSC-klagomål mail.docx", "A 20396-2022")</f>
        <v/>
      </c>
      <c r="X7">
        <f>HYPERLINK("https://klasma.github.io/Logging_2084/tillsyn/A 20396-2022 tillsynsbegäran.docx", "A 20396-2022")</f>
        <v/>
      </c>
      <c r="Y7">
        <f>HYPERLINK("https://klasma.github.io/Logging_2084/tillsynsmail/A 20396-2022 tillsynsbegäran mail.docx", "A 20396-2022")</f>
        <v/>
      </c>
      <c r="Z7">
        <f>HYPERLINK("https://klasma.github.io/Logging_2084/fåglar/A 20396-2022 prioriterade fågelarter.docx", "A 20396-2022")</f>
        <v/>
      </c>
    </row>
    <row r="8" ht="15" customHeight="1">
      <c r="A8" t="inlineStr">
        <is>
          <t>A 59462-2023</t>
        </is>
      </c>
      <c r="B8" s="1" t="n">
        <v>45254.39513888889</v>
      </c>
      <c r="C8" s="1" t="n">
        <v>45998</v>
      </c>
      <c r="D8" t="inlineStr">
        <is>
          <t>DALARNAS LÄN</t>
        </is>
      </c>
      <c r="E8" t="inlineStr">
        <is>
          <t>AVESTA</t>
        </is>
      </c>
      <c r="G8" t="n">
        <v>7.7</v>
      </c>
      <c r="H8" t="n">
        <v>3</v>
      </c>
      <c r="I8" t="n">
        <v>1</v>
      </c>
      <c r="J8" t="n">
        <v>1</v>
      </c>
      <c r="K8" t="n">
        <v>0</v>
      </c>
      <c r="L8" t="n">
        <v>0</v>
      </c>
      <c r="M8" t="n">
        <v>0</v>
      </c>
      <c r="N8" t="n">
        <v>0</v>
      </c>
      <c r="O8" t="n">
        <v>1</v>
      </c>
      <c r="P8" t="n">
        <v>0</v>
      </c>
      <c r="Q8" t="n">
        <v>4</v>
      </c>
      <c r="R8" s="2" t="inlineStr">
        <is>
          <t>Ullticka
Plattlummer
Fläcknycklar
Mattlummer</t>
        </is>
      </c>
      <c r="S8">
        <f>HYPERLINK("https://klasma.github.io/Logging_2084/artfynd/A 59462-2023 artfynd.xlsx", "A 59462-2023")</f>
        <v/>
      </c>
      <c r="T8">
        <f>HYPERLINK("https://klasma.github.io/Logging_2084/kartor/A 59462-2023 karta.png", "A 59462-2023")</f>
        <v/>
      </c>
      <c r="V8">
        <f>HYPERLINK("https://klasma.github.io/Logging_2084/klagomål/A 59462-2023 FSC-klagomål.docx", "A 59462-2023")</f>
        <v/>
      </c>
      <c r="W8">
        <f>HYPERLINK("https://klasma.github.io/Logging_2084/klagomålsmail/A 59462-2023 FSC-klagomål mail.docx", "A 59462-2023")</f>
        <v/>
      </c>
      <c r="X8">
        <f>HYPERLINK("https://klasma.github.io/Logging_2084/tillsyn/A 59462-2023 tillsynsbegäran.docx", "A 59462-2023")</f>
        <v/>
      </c>
      <c r="Y8">
        <f>HYPERLINK("https://klasma.github.io/Logging_2084/tillsynsmail/A 59462-2023 tillsynsbegäran mail.docx", "A 59462-2023")</f>
        <v/>
      </c>
    </row>
    <row r="9" ht="15" customHeight="1">
      <c r="A9" t="inlineStr">
        <is>
          <t>A 69304-2021</t>
        </is>
      </c>
      <c r="B9" s="1" t="n">
        <v>44531</v>
      </c>
      <c r="C9" s="1" t="n">
        <v>45998</v>
      </c>
      <c r="D9" t="inlineStr">
        <is>
          <t>DALARNAS LÄN</t>
        </is>
      </c>
      <c r="E9" t="inlineStr">
        <is>
          <t>AVESTA</t>
        </is>
      </c>
      <c r="G9" t="n">
        <v>8</v>
      </c>
      <c r="H9" t="n">
        <v>1</v>
      </c>
      <c r="I9" t="n">
        <v>2</v>
      </c>
      <c r="J9" t="n">
        <v>0</v>
      </c>
      <c r="K9" t="n">
        <v>1</v>
      </c>
      <c r="L9" t="n">
        <v>0</v>
      </c>
      <c r="M9" t="n">
        <v>0</v>
      </c>
      <c r="N9" t="n">
        <v>0</v>
      </c>
      <c r="O9" t="n">
        <v>1</v>
      </c>
      <c r="P9" t="n">
        <v>1</v>
      </c>
      <c r="Q9" t="n">
        <v>3</v>
      </c>
      <c r="R9" s="2" t="inlineStr">
        <is>
          <t>Knärot
Bronshjon
Vedticka</t>
        </is>
      </c>
      <c r="S9">
        <f>HYPERLINK("https://klasma.github.io/Logging_2084/artfynd/A 69304-2021 artfynd.xlsx", "A 69304-2021")</f>
        <v/>
      </c>
      <c r="T9">
        <f>HYPERLINK("https://klasma.github.io/Logging_2084/kartor/A 69304-2021 karta.png", "A 69304-2021")</f>
        <v/>
      </c>
      <c r="U9">
        <f>HYPERLINK("https://klasma.github.io/Logging_2084/knärot/A 69304-2021 karta knärot.png", "A 69304-2021")</f>
        <v/>
      </c>
      <c r="V9">
        <f>HYPERLINK("https://klasma.github.io/Logging_2084/klagomål/A 69304-2021 FSC-klagomål.docx", "A 69304-2021")</f>
        <v/>
      </c>
      <c r="W9">
        <f>HYPERLINK("https://klasma.github.io/Logging_2084/klagomålsmail/A 69304-2021 FSC-klagomål mail.docx", "A 69304-2021")</f>
        <v/>
      </c>
      <c r="X9">
        <f>HYPERLINK("https://klasma.github.io/Logging_2084/tillsyn/A 69304-2021 tillsynsbegäran.docx", "A 69304-2021")</f>
        <v/>
      </c>
      <c r="Y9">
        <f>HYPERLINK("https://klasma.github.io/Logging_2084/tillsynsmail/A 69304-2021 tillsynsbegäran mail.docx", "A 69304-2021")</f>
        <v/>
      </c>
    </row>
    <row r="10" ht="15" customHeight="1">
      <c r="A10" t="inlineStr">
        <is>
          <t>A 26804-2024</t>
        </is>
      </c>
      <c r="B10" s="1" t="n">
        <v>45470</v>
      </c>
      <c r="C10" s="1" t="n">
        <v>45998</v>
      </c>
      <c r="D10" t="inlineStr">
        <is>
          <t>DALARNAS LÄN</t>
        </is>
      </c>
      <c r="E10" t="inlineStr">
        <is>
          <t>AVESTA</t>
        </is>
      </c>
      <c r="F10" t="inlineStr">
        <is>
          <t>Bergvik skog väst AB</t>
        </is>
      </c>
      <c r="G10" t="n">
        <v>11.7</v>
      </c>
      <c r="H10" t="n">
        <v>3</v>
      </c>
      <c r="I10" t="n">
        <v>0</v>
      </c>
      <c r="J10" t="n">
        <v>2</v>
      </c>
      <c r="K10" t="n">
        <v>0</v>
      </c>
      <c r="L10" t="n">
        <v>0</v>
      </c>
      <c r="M10" t="n">
        <v>0</v>
      </c>
      <c r="N10" t="n">
        <v>0</v>
      </c>
      <c r="O10" t="n">
        <v>2</v>
      </c>
      <c r="P10" t="n">
        <v>0</v>
      </c>
      <c r="Q10" t="n">
        <v>3</v>
      </c>
      <c r="R10" s="2" t="inlineStr">
        <is>
          <t>Brunlångöra
Nordfladdermus
Vattenfladdermus</t>
        </is>
      </c>
      <c r="S10">
        <f>HYPERLINK("https://klasma.github.io/Logging_2084/artfynd/A 26804-2024 artfynd.xlsx", "A 26804-2024")</f>
        <v/>
      </c>
      <c r="T10">
        <f>HYPERLINK("https://klasma.github.io/Logging_2084/kartor/A 26804-2024 karta.png", "A 26804-2024")</f>
        <v/>
      </c>
      <c r="U10">
        <f>HYPERLINK("https://klasma.github.io/Logging_2084/knärot/A 26804-2024 karta knärot.png", "A 26804-2024")</f>
        <v/>
      </c>
      <c r="V10">
        <f>HYPERLINK("https://klasma.github.io/Logging_2084/klagomål/A 26804-2024 FSC-klagomål.docx", "A 26804-2024")</f>
        <v/>
      </c>
      <c r="W10">
        <f>HYPERLINK("https://klasma.github.io/Logging_2084/klagomålsmail/A 26804-2024 FSC-klagomål mail.docx", "A 26804-2024")</f>
        <v/>
      </c>
      <c r="X10">
        <f>HYPERLINK("https://klasma.github.io/Logging_2084/tillsyn/A 26804-2024 tillsynsbegäran.docx", "A 26804-2024")</f>
        <v/>
      </c>
      <c r="Y10">
        <f>HYPERLINK("https://klasma.github.io/Logging_2084/tillsynsmail/A 26804-2024 tillsynsbegäran mail.docx", "A 26804-2024")</f>
        <v/>
      </c>
    </row>
    <row r="11" ht="15" customHeight="1">
      <c r="A11" t="inlineStr">
        <is>
          <t>A 60367-2024</t>
        </is>
      </c>
      <c r="B11" s="1" t="n">
        <v>45643.45725694444</v>
      </c>
      <c r="C11" s="1" t="n">
        <v>45998</v>
      </c>
      <c r="D11" t="inlineStr">
        <is>
          <t>DALARNAS LÄN</t>
        </is>
      </c>
      <c r="E11" t="inlineStr">
        <is>
          <t>AVESTA</t>
        </is>
      </c>
      <c r="G11" t="n">
        <v>10.1</v>
      </c>
      <c r="H11" t="n">
        <v>2</v>
      </c>
      <c r="I11" t="n">
        <v>2</v>
      </c>
      <c r="J11" t="n">
        <v>0</v>
      </c>
      <c r="K11" t="n">
        <v>1</v>
      </c>
      <c r="L11" t="n">
        <v>0</v>
      </c>
      <c r="M11" t="n">
        <v>0</v>
      </c>
      <c r="N11" t="n">
        <v>0</v>
      </c>
      <c r="O11" t="n">
        <v>1</v>
      </c>
      <c r="P11" t="n">
        <v>1</v>
      </c>
      <c r="Q11" t="n">
        <v>3</v>
      </c>
      <c r="R11" s="2" t="inlineStr">
        <is>
          <t>Knärot
Grönpyrola
Plattlummer</t>
        </is>
      </c>
      <c r="S11">
        <f>HYPERLINK("https://klasma.github.io/Logging_2084/artfynd/A 60367-2024 artfynd.xlsx", "A 60367-2024")</f>
        <v/>
      </c>
      <c r="T11">
        <f>HYPERLINK("https://klasma.github.io/Logging_2084/kartor/A 60367-2024 karta.png", "A 60367-2024")</f>
        <v/>
      </c>
      <c r="U11">
        <f>HYPERLINK("https://klasma.github.io/Logging_2084/knärot/A 60367-2024 karta knärot.png", "A 60367-2024")</f>
        <v/>
      </c>
      <c r="V11">
        <f>HYPERLINK("https://klasma.github.io/Logging_2084/klagomål/A 60367-2024 FSC-klagomål.docx", "A 60367-2024")</f>
        <v/>
      </c>
      <c r="W11">
        <f>HYPERLINK("https://klasma.github.io/Logging_2084/klagomålsmail/A 60367-2024 FSC-klagomål mail.docx", "A 60367-2024")</f>
        <v/>
      </c>
      <c r="X11">
        <f>HYPERLINK("https://klasma.github.io/Logging_2084/tillsyn/A 60367-2024 tillsynsbegäran.docx", "A 60367-2024")</f>
        <v/>
      </c>
      <c r="Y11">
        <f>HYPERLINK("https://klasma.github.io/Logging_2084/tillsynsmail/A 60367-2024 tillsynsbegäran mail.docx", "A 60367-2024")</f>
        <v/>
      </c>
    </row>
    <row r="12" ht="15" customHeight="1">
      <c r="A12" t="inlineStr">
        <is>
          <t>A 57469-2025</t>
        </is>
      </c>
      <c r="B12" s="1" t="n">
        <v>45980.55704861111</v>
      </c>
      <c r="C12" s="1" t="n">
        <v>45998</v>
      </c>
      <c r="D12" t="inlineStr">
        <is>
          <t>DALARNAS LÄN</t>
        </is>
      </c>
      <c r="E12" t="inlineStr">
        <is>
          <t>AVESTA</t>
        </is>
      </c>
      <c r="G12" t="n">
        <v>3</v>
      </c>
      <c r="H12" t="n">
        <v>2</v>
      </c>
      <c r="I12" t="n">
        <v>1</v>
      </c>
      <c r="J12" t="n">
        <v>1</v>
      </c>
      <c r="K12" t="n">
        <v>0</v>
      </c>
      <c r="L12" t="n">
        <v>0</v>
      </c>
      <c r="M12" t="n">
        <v>0</v>
      </c>
      <c r="N12" t="n">
        <v>0</v>
      </c>
      <c r="O12" t="n">
        <v>1</v>
      </c>
      <c r="P12" t="n">
        <v>0</v>
      </c>
      <c r="Q12" t="n">
        <v>3</v>
      </c>
      <c r="R12" s="2" t="inlineStr">
        <is>
          <t>Talltita
Vågbandad barkbock
Järnsparv</t>
        </is>
      </c>
      <c r="S12">
        <f>HYPERLINK("https://klasma.github.io/Logging_2084/artfynd/A 57469-2025 artfynd.xlsx", "A 57469-2025")</f>
        <v/>
      </c>
      <c r="T12">
        <f>HYPERLINK("https://klasma.github.io/Logging_2084/kartor/A 57469-2025 karta.png", "A 57469-2025")</f>
        <v/>
      </c>
      <c r="V12">
        <f>HYPERLINK("https://klasma.github.io/Logging_2084/klagomål/A 57469-2025 FSC-klagomål.docx", "A 57469-2025")</f>
        <v/>
      </c>
      <c r="W12">
        <f>HYPERLINK("https://klasma.github.io/Logging_2084/klagomålsmail/A 57469-2025 FSC-klagomål mail.docx", "A 57469-2025")</f>
        <v/>
      </c>
      <c r="X12">
        <f>HYPERLINK("https://klasma.github.io/Logging_2084/tillsyn/A 57469-2025 tillsynsbegäran.docx", "A 57469-2025")</f>
        <v/>
      </c>
      <c r="Y12">
        <f>HYPERLINK("https://klasma.github.io/Logging_2084/tillsynsmail/A 57469-2025 tillsynsbegäran mail.docx", "A 57469-2025")</f>
        <v/>
      </c>
      <c r="Z12">
        <f>HYPERLINK("https://klasma.github.io/Logging_2084/fåglar/A 57469-2025 prioriterade fågelarter.docx", "A 57469-2025")</f>
        <v/>
      </c>
    </row>
    <row r="13" ht="15" customHeight="1">
      <c r="A13" t="inlineStr">
        <is>
          <t>A 59921-2023</t>
        </is>
      </c>
      <c r="B13" s="1" t="n">
        <v>45257</v>
      </c>
      <c r="C13" s="1" t="n">
        <v>45998</v>
      </c>
      <c r="D13" t="inlineStr">
        <is>
          <t>DALARNAS LÄN</t>
        </is>
      </c>
      <c r="E13" t="inlineStr">
        <is>
          <t>AVESTA</t>
        </is>
      </c>
      <c r="G13" t="n">
        <v>0.4</v>
      </c>
      <c r="H13" t="n">
        <v>2</v>
      </c>
      <c r="I13" t="n">
        <v>0</v>
      </c>
      <c r="J13" t="n">
        <v>2</v>
      </c>
      <c r="K13" t="n">
        <v>0</v>
      </c>
      <c r="L13" t="n">
        <v>0</v>
      </c>
      <c r="M13" t="n">
        <v>0</v>
      </c>
      <c r="N13" t="n">
        <v>0</v>
      </c>
      <c r="O13" t="n">
        <v>2</v>
      </c>
      <c r="P13" t="n">
        <v>0</v>
      </c>
      <c r="Q13" t="n">
        <v>2</v>
      </c>
      <c r="R13" s="2" t="inlineStr">
        <is>
          <t>Gulsparv
Talltita</t>
        </is>
      </c>
      <c r="S13">
        <f>HYPERLINK("https://klasma.github.io/Logging_2084/artfynd/A 59921-2023 artfynd.xlsx", "A 59921-2023")</f>
        <v/>
      </c>
      <c r="T13">
        <f>HYPERLINK("https://klasma.github.io/Logging_2084/kartor/A 59921-2023 karta.png", "A 59921-2023")</f>
        <v/>
      </c>
      <c r="V13">
        <f>HYPERLINK("https://klasma.github.io/Logging_2084/klagomål/A 59921-2023 FSC-klagomål.docx", "A 59921-2023")</f>
        <v/>
      </c>
      <c r="W13">
        <f>HYPERLINK("https://klasma.github.io/Logging_2084/klagomålsmail/A 59921-2023 FSC-klagomål mail.docx", "A 59921-2023")</f>
        <v/>
      </c>
      <c r="X13">
        <f>HYPERLINK("https://klasma.github.io/Logging_2084/tillsyn/A 59921-2023 tillsynsbegäran.docx", "A 59921-2023")</f>
        <v/>
      </c>
      <c r="Y13">
        <f>HYPERLINK("https://klasma.github.io/Logging_2084/tillsynsmail/A 59921-2023 tillsynsbegäran mail.docx", "A 59921-2023")</f>
        <v/>
      </c>
      <c r="Z13">
        <f>HYPERLINK("https://klasma.github.io/Logging_2084/fåglar/A 59921-2023 prioriterade fågelarter.docx", "A 59921-2023")</f>
        <v/>
      </c>
    </row>
    <row r="14" ht="15" customHeight="1">
      <c r="A14" t="inlineStr">
        <is>
          <t>A 1688-2022</t>
        </is>
      </c>
      <c r="B14" s="1" t="n">
        <v>44574</v>
      </c>
      <c r="C14" s="1" t="n">
        <v>45998</v>
      </c>
      <c r="D14" t="inlineStr">
        <is>
          <t>DALARNAS LÄN</t>
        </is>
      </c>
      <c r="E14" t="inlineStr">
        <is>
          <t>AVESTA</t>
        </is>
      </c>
      <c r="G14" t="n">
        <v>10</v>
      </c>
      <c r="H14" t="n">
        <v>2</v>
      </c>
      <c r="I14" t="n">
        <v>0</v>
      </c>
      <c r="J14" t="n">
        <v>1</v>
      </c>
      <c r="K14" t="n">
        <v>1</v>
      </c>
      <c r="L14" t="n">
        <v>0</v>
      </c>
      <c r="M14" t="n">
        <v>0</v>
      </c>
      <c r="N14" t="n">
        <v>0</v>
      </c>
      <c r="O14" t="n">
        <v>2</v>
      </c>
      <c r="P14" t="n">
        <v>1</v>
      </c>
      <c r="Q14" t="n">
        <v>2</v>
      </c>
      <c r="R14" s="2" t="inlineStr">
        <is>
          <t>Knärot
Spillkråka</t>
        </is>
      </c>
      <c r="S14">
        <f>HYPERLINK("https://klasma.github.io/Logging_2084/artfynd/A 1688-2022 artfynd.xlsx", "A 1688-2022")</f>
        <v/>
      </c>
      <c r="T14">
        <f>HYPERLINK("https://klasma.github.io/Logging_2084/kartor/A 1688-2022 karta.png", "A 1688-2022")</f>
        <v/>
      </c>
      <c r="U14">
        <f>HYPERLINK("https://klasma.github.io/Logging_2084/knärot/A 1688-2022 karta knärot.png", "A 1688-2022")</f>
        <v/>
      </c>
      <c r="V14">
        <f>HYPERLINK("https://klasma.github.io/Logging_2084/klagomål/A 1688-2022 FSC-klagomål.docx", "A 1688-2022")</f>
        <v/>
      </c>
      <c r="W14">
        <f>HYPERLINK("https://klasma.github.io/Logging_2084/klagomålsmail/A 1688-2022 FSC-klagomål mail.docx", "A 1688-2022")</f>
        <v/>
      </c>
      <c r="X14">
        <f>HYPERLINK("https://klasma.github.io/Logging_2084/tillsyn/A 1688-2022 tillsynsbegäran.docx", "A 1688-2022")</f>
        <v/>
      </c>
      <c r="Y14">
        <f>HYPERLINK("https://klasma.github.io/Logging_2084/tillsynsmail/A 1688-2022 tillsynsbegäran mail.docx", "A 1688-2022")</f>
        <v/>
      </c>
      <c r="Z14">
        <f>HYPERLINK("https://klasma.github.io/Logging_2084/fåglar/A 1688-2022 prioriterade fågelarter.docx", "A 1688-2022")</f>
        <v/>
      </c>
    </row>
    <row r="15" ht="15" customHeight="1">
      <c r="A15" t="inlineStr">
        <is>
          <t>A 10943-2024</t>
        </is>
      </c>
      <c r="B15" s="1" t="n">
        <v>45370.46076388889</v>
      </c>
      <c r="C15" s="1" t="n">
        <v>45998</v>
      </c>
      <c r="D15" t="inlineStr">
        <is>
          <t>DALARNAS LÄN</t>
        </is>
      </c>
      <c r="E15" t="inlineStr">
        <is>
          <t>AVESTA</t>
        </is>
      </c>
      <c r="G15" t="n">
        <v>8.5</v>
      </c>
      <c r="H15" t="n">
        <v>1</v>
      </c>
      <c r="I15" t="n">
        <v>0</v>
      </c>
      <c r="J15" t="n">
        <v>1</v>
      </c>
      <c r="K15" t="n">
        <v>0</v>
      </c>
      <c r="L15" t="n">
        <v>0</v>
      </c>
      <c r="M15" t="n">
        <v>0</v>
      </c>
      <c r="N15" t="n">
        <v>0</v>
      </c>
      <c r="O15" t="n">
        <v>1</v>
      </c>
      <c r="P15" t="n">
        <v>0</v>
      </c>
      <c r="Q15" t="n">
        <v>1</v>
      </c>
      <c r="R15" s="2" t="inlineStr">
        <is>
          <t>Havsörn</t>
        </is>
      </c>
      <c r="S15">
        <f>HYPERLINK("https://klasma.github.io/Logging_2084/artfynd/A 10943-2024 artfynd.xlsx", "A 10943-2024")</f>
        <v/>
      </c>
      <c r="T15">
        <f>HYPERLINK("https://klasma.github.io/Logging_2084/kartor/A 10943-2024 karta.png", "A 10943-2024")</f>
        <v/>
      </c>
      <c r="V15">
        <f>HYPERLINK("https://klasma.github.io/Logging_2084/klagomål/A 10943-2024 FSC-klagomål.docx", "A 10943-2024")</f>
        <v/>
      </c>
      <c r="W15">
        <f>HYPERLINK("https://klasma.github.io/Logging_2084/klagomålsmail/A 10943-2024 FSC-klagomål mail.docx", "A 10943-2024")</f>
        <v/>
      </c>
      <c r="X15">
        <f>HYPERLINK("https://klasma.github.io/Logging_2084/tillsyn/A 10943-2024 tillsynsbegäran.docx", "A 10943-2024")</f>
        <v/>
      </c>
      <c r="Y15">
        <f>HYPERLINK("https://klasma.github.io/Logging_2084/tillsynsmail/A 10943-2024 tillsynsbegäran mail.docx", "A 10943-2024")</f>
        <v/>
      </c>
      <c r="Z15">
        <f>HYPERLINK("https://klasma.github.io/Logging_2084/fåglar/A 10943-2024 prioriterade fågelarter.docx", "A 10943-2024")</f>
        <v/>
      </c>
    </row>
    <row r="16" ht="15" customHeight="1">
      <c r="A16" t="inlineStr">
        <is>
          <t>A 56085-2023</t>
        </is>
      </c>
      <c r="B16" s="1" t="n">
        <v>45240</v>
      </c>
      <c r="C16" s="1" t="n">
        <v>45998</v>
      </c>
      <c r="D16" t="inlineStr">
        <is>
          <t>DALARNAS LÄN</t>
        </is>
      </c>
      <c r="E16" t="inlineStr">
        <is>
          <t>AVESTA</t>
        </is>
      </c>
      <c r="G16" t="n">
        <v>2.7</v>
      </c>
      <c r="H16" t="n">
        <v>0</v>
      </c>
      <c r="I16" t="n">
        <v>1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1</v>
      </c>
      <c r="R16" s="2" t="inlineStr">
        <is>
          <t>Rostfläck</t>
        </is>
      </c>
      <c r="S16">
        <f>HYPERLINK("https://klasma.github.io/Logging_2084/artfynd/A 56085-2023 artfynd.xlsx", "A 56085-2023")</f>
        <v/>
      </c>
      <c r="T16">
        <f>HYPERLINK("https://klasma.github.io/Logging_2084/kartor/A 56085-2023 karta.png", "A 56085-2023")</f>
        <v/>
      </c>
      <c r="V16">
        <f>HYPERLINK("https://klasma.github.io/Logging_2084/klagomål/A 56085-2023 FSC-klagomål.docx", "A 56085-2023")</f>
        <v/>
      </c>
      <c r="W16">
        <f>HYPERLINK("https://klasma.github.io/Logging_2084/klagomålsmail/A 56085-2023 FSC-klagomål mail.docx", "A 56085-2023")</f>
        <v/>
      </c>
      <c r="X16">
        <f>HYPERLINK("https://klasma.github.io/Logging_2084/tillsyn/A 56085-2023 tillsynsbegäran.docx", "A 56085-2023")</f>
        <v/>
      </c>
      <c r="Y16">
        <f>HYPERLINK("https://klasma.github.io/Logging_2084/tillsynsmail/A 56085-2023 tillsynsbegäran mail.docx", "A 56085-2023")</f>
        <v/>
      </c>
    </row>
    <row r="17" ht="15" customHeight="1">
      <c r="A17" t="inlineStr">
        <is>
          <t>A 12997-2022</t>
        </is>
      </c>
      <c r="B17" s="1" t="n">
        <v>44643.43515046296</v>
      </c>
      <c r="C17" s="1" t="n">
        <v>45998</v>
      </c>
      <c r="D17" t="inlineStr">
        <is>
          <t>DALARNAS LÄN</t>
        </is>
      </c>
      <c r="E17" t="inlineStr">
        <is>
          <t>AVESTA</t>
        </is>
      </c>
      <c r="G17" t="n">
        <v>0.6</v>
      </c>
      <c r="H17" t="n">
        <v>1</v>
      </c>
      <c r="I17" t="n">
        <v>0</v>
      </c>
      <c r="J17" t="n">
        <v>1</v>
      </c>
      <c r="K17" t="n">
        <v>0</v>
      </c>
      <c r="L17" t="n">
        <v>0</v>
      </c>
      <c r="M17" t="n">
        <v>0</v>
      </c>
      <c r="N17" t="n">
        <v>0</v>
      </c>
      <c r="O17" t="n">
        <v>1</v>
      </c>
      <c r="P17" t="n">
        <v>0</v>
      </c>
      <c r="Q17" t="n">
        <v>1</v>
      </c>
      <c r="R17" s="2" t="inlineStr">
        <is>
          <t>Tretåig hackspett</t>
        </is>
      </c>
      <c r="S17">
        <f>HYPERLINK("https://klasma.github.io/Logging_2084/artfynd/A 12997-2022 artfynd.xlsx", "A 12997-2022")</f>
        <v/>
      </c>
      <c r="T17">
        <f>HYPERLINK("https://klasma.github.io/Logging_2084/kartor/A 12997-2022 karta.png", "A 12997-2022")</f>
        <v/>
      </c>
      <c r="V17">
        <f>HYPERLINK("https://klasma.github.io/Logging_2084/klagomål/A 12997-2022 FSC-klagomål.docx", "A 12997-2022")</f>
        <v/>
      </c>
      <c r="W17">
        <f>HYPERLINK("https://klasma.github.io/Logging_2084/klagomålsmail/A 12997-2022 FSC-klagomål mail.docx", "A 12997-2022")</f>
        <v/>
      </c>
      <c r="X17">
        <f>HYPERLINK("https://klasma.github.io/Logging_2084/tillsyn/A 12997-2022 tillsynsbegäran.docx", "A 12997-2022")</f>
        <v/>
      </c>
      <c r="Y17">
        <f>HYPERLINK("https://klasma.github.io/Logging_2084/tillsynsmail/A 12997-2022 tillsynsbegäran mail.docx", "A 12997-2022")</f>
        <v/>
      </c>
      <c r="Z17">
        <f>HYPERLINK("https://klasma.github.io/Logging_2084/fåglar/A 12997-2022 prioriterade fågelarter.docx", "A 12997-2022")</f>
        <v/>
      </c>
    </row>
    <row r="18" ht="15" customHeight="1">
      <c r="A18" t="inlineStr">
        <is>
          <t>A 1695-2022</t>
        </is>
      </c>
      <c r="B18" s="1" t="n">
        <v>44574</v>
      </c>
      <c r="C18" s="1" t="n">
        <v>45998</v>
      </c>
      <c r="D18" t="inlineStr">
        <is>
          <t>DALARNAS LÄN</t>
        </is>
      </c>
      <c r="E18" t="inlineStr">
        <is>
          <t>AVESTA</t>
        </is>
      </c>
      <c r="G18" t="n">
        <v>6.5</v>
      </c>
      <c r="H18" t="n">
        <v>1</v>
      </c>
      <c r="I18" t="n">
        <v>0</v>
      </c>
      <c r="J18" t="n">
        <v>0</v>
      </c>
      <c r="K18" t="n">
        <v>1</v>
      </c>
      <c r="L18" t="n">
        <v>0</v>
      </c>
      <c r="M18" t="n">
        <v>0</v>
      </c>
      <c r="N18" t="n">
        <v>0</v>
      </c>
      <c r="O18" t="n">
        <v>1</v>
      </c>
      <c r="P18" t="n">
        <v>1</v>
      </c>
      <c r="Q18" t="n">
        <v>1</v>
      </c>
      <c r="R18" s="2" t="inlineStr">
        <is>
          <t>Knärot</t>
        </is>
      </c>
      <c r="S18">
        <f>HYPERLINK("https://klasma.github.io/Logging_2084/artfynd/A 1695-2022 artfynd.xlsx", "A 1695-2022")</f>
        <v/>
      </c>
      <c r="T18">
        <f>HYPERLINK("https://klasma.github.io/Logging_2084/kartor/A 1695-2022 karta.png", "A 1695-2022")</f>
        <v/>
      </c>
      <c r="U18">
        <f>HYPERLINK("https://klasma.github.io/Logging_2084/knärot/A 1695-2022 karta knärot.png", "A 1695-2022")</f>
        <v/>
      </c>
      <c r="V18">
        <f>HYPERLINK("https://klasma.github.io/Logging_2084/klagomål/A 1695-2022 FSC-klagomål.docx", "A 1695-2022")</f>
        <v/>
      </c>
      <c r="W18">
        <f>HYPERLINK("https://klasma.github.io/Logging_2084/klagomålsmail/A 1695-2022 FSC-klagomål mail.docx", "A 1695-2022")</f>
        <v/>
      </c>
      <c r="X18">
        <f>HYPERLINK("https://klasma.github.io/Logging_2084/tillsyn/A 1695-2022 tillsynsbegäran.docx", "A 1695-2022")</f>
        <v/>
      </c>
      <c r="Y18">
        <f>HYPERLINK("https://klasma.github.io/Logging_2084/tillsynsmail/A 1695-2022 tillsynsbegäran mail.docx", "A 1695-2022")</f>
        <v/>
      </c>
    </row>
    <row r="19" ht="15" customHeight="1">
      <c r="A19" t="inlineStr">
        <is>
          <t>A 17316-2021</t>
        </is>
      </c>
      <c r="B19" s="1" t="n">
        <v>44298.62740740741</v>
      </c>
      <c r="C19" s="1" t="n">
        <v>45998</v>
      </c>
      <c r="D19" t="inlineStr">
        <is>
          <t>DALARNAS LÄN</t>
        </is>
      </c>
      <c r="E19" t="inlineStr">
        <is>
          <t>AVESTA</t>
        </is>
      </c>
      <c r="G19" t="n">
        <v>4.9</v>
      </c>
      <c r="H19" t="n">
        <v>1</v>
      </c>
      <c r="I19" t="n">
        <v>0</v>
      </c>
      <c r="J19" t="n">
        <v>0</v>
      </c>
      <c r="K19" t="n">
        <v>1</v>
      </c>
      <c r="L19" t="n">
        <v>0</v>
      </c>
      <c r="M19" t="n">
        <v>0</v>
      </c>
      <c r="N19" t="n">
        <v>0</v>
      </c>
      <c r="O19" t="n">
        <v>1</v>
      </c>
      <c r="P19" t="n">
        <v>1</v>
      </c>
      <c r="Q19" t="n">
        <v>1</v>
      </c>
      <c r="R19" s="2" t="inlineStr">
        <is>
          <t>Knärot</t>
        </is>
      </c>
      <c r="S19">
        <f>HYPERLINK("https://klasma.github.io/Logging_2084/artfynd/A 17316-2021 artfynd.xlsx", "A 17316-2021")</f>
        <v/>
      </c>
      <c r="T19">
        <f>HYPERLINK("https://klasma.github.io/Logging_2084/kartor/A 17316-2021 karta.png", "A 17316-2021")</f>
        <v/>
      </c>
      <c r="U19">
        <f>HYPERLINK("https://klasma.github.io/Logging_2084/knärot/A 17316-2021 karta knärot.png", "A 17316-2021")</f>
        <v/>
      </c>
      <c r="V19">
        <f>HYPERLINK("https://klasma.github.io/Logging_2084/klagomål/A 17316-2021 FSC-klagomål.docx", "A 17316-2021")</f>
        <v/>
      </c>
      <c r="W19">
        <f>HYPERLINK("https://klasma.github.io/Logging_2084/klagomålsmail/A 17316-2021 FSC-klagomål mail.docx", "A 17316-2021")</f>
        <v/>
      </c>
      <c r="X19">
        <f>HYPERLINK("https://klasma.github.io/Logging_2084/tillsyn/A 17316-2021 tillsynsbegäran.docx", "A 17316-2021")</f>
        <v/>
      </c>
      <c r="Y19">
        <f>HYPERLINK("https://klasma.github.io/Logging_2084/tillsynsmail/A 17316-2021 tillsynsbegäran mail.docx", "A 17316-2021")</f>
        <v/>
      </c>
    </row>
    <row r="20" ht="15" customHeight="1">
      <c r="A20" t="inlineStr">
        <is>
          <t>A 17913-2025</t>
        </is>
      </c>
      <c r="B20" s="1" t="n">
        <v>45758.76966435185</v>
      </c>
      <c r="C20" s="1" t="n">
        <v>45998</v>
      </c>
      <c r="D20" t="inlineStr">
        <is>
          <t>DALARNAS LÄN</t>
        </is>
      </c>
      <c r="E20" t="inlineStr">
        <is>
          <t>AVESTA</t>
        </is>
      </c>
      <c r="G20" t="n">
        <v>10.2</v>
      </c>
      <c r="H20" t="n">
        <v>1</v>
      </c>
      <c r="I20" t="n">
        <v>0</v>
      </c>
      <c r="J20" t="n">
        <v>0</v>
      </c>
      <c r="K20" t="n">
        <v>1</v>
      </c>
      <c r="L20" t="n">
        <v>0</v>
      </c>
      <c r="M20" t="n">
        <v>0</v>
      </c>
      <c r="N20" t="n">
        <v>0</v>
      </c>
      <c r="O20" t="n">
        <v>1</v>
      </c>
      <c r="P20" t="n">
        <v>1</v>
      </c>
      <c r="Q20" t="n">
        <v>1</v>
      </c>
      <c r="R20" s="2" t="inlineStr">
        <is>
          <t>Knärot</t>
        </is>
      </c>
      <c r="S20">
        <f>HYPERLINK("https://klasma.github.io/Logging_2084/artfynd/A 17913-2025 artfynd.xlsx", "A 17913-2025")</f>
        <v/>
      </c>
      <c r="T20">
        <f>HYPERLINK("https://klasma.github.io/Logging_2084/kartor/A 17913-2025 karta.png", "A 17913-2025")</f>
        <v/>
      </c>
      <c r="U20">
        <f>HYPERLINK("https://klasma.github.io/Logging_2084/knärot/A 17913-2025 karta knärot.png", "A 17913-2025")</f>
        <v/>
      </c>
      <c r="V20">
        <f>HYPERLINK("https://klasma.github.io/Logging_2084/klagomål/A 17913-2025 FSC-klagomål.docx", "A 17913-2025")</f>
        <v/>
      </c>
      <c r="W20">
        <f>HYPERLINK("https://klasma.github.io/Logging_2084/klagomålsmail/A 17913-2025 FSC-klagomål mail.docx", "A 17913-2025")</f>
        <v/>
      </c>
      <c r="X20">
        <f>HYPERLINK("https://klasma.github.io/Logging_2084/tillsyn/A 17913-2025 tillsynsbegäran.docx", "A 17913-2025")</f>
        <v/>
      </c>
      <c r="Y20">
        <f>HYPERLINK("https://klasma.github.io/Logging_2084/tillsynsmail/A 17913-2025 tillsynsbegäran mail.docx", "A 17913-2025")</f>
        <v/>
      </c>
    </row>
    <row r="21" ht="15" customHeight="1">
      <c r="A21" t="inlineStr">
        <is>
          <t>A 36007-2025</t>
        </is>
      </c>
      <c r="B21" s="1" t="n">
        <v>45863.56149305555</v>
      </c>
      <c r="C21" s="1" t="n">
        <v>45998</v>
      </c>
      <c r="D21" t="inlineStr">
        <is>
          <t>DALARNAS LÄN</t>
        </is>
      </c>
      <c r="E21" t="inlineStr">
        <is>
          <t>AVESTA</t>
        </is>
      </c>
      <c r="F21" t="inlineStr">
        <is>
          <t>Sveaskog</t>
        </is>
      </c>
      <c r="G21" t="n">
        <v>15</v>
      </c>
      <c r="H21" t="n">
        <v>1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1</v>
      </c>
      <c r="R21" s="2" t="inlineStr">
        <is>
          <t>Fläcknycklar</t>
        </is>
      </c>
      <c r="S21">
        <f>HYPERLINK("https://klasma.github.io/Logging_2084/artfynd/A 36007-2025 artfynd.xlsx", "A 36007-2025")</f>
        <v/>
      </c>
      <c r="T21">
        <f>HYPERLINK("https://klasma.github.io/Logging_2084/kartor/A 36007-2025 karta.png", "A 36007-2025")</f>
        <v/>
      </c>
      <c r="V21">
        <f>HYPERLINK("https://klasma.github.io/Logging_2084/klagomål/A 36007-2025 FSC-klagomål.docx", "A 36007-2025")</f>
        <v/>
      </c>
      <c r="W21">
        <f>HYPERLINK("https://klasma.github.io/Logging_2084/klagomålsmail/A 36007-2025 FSC-klagomål mail.docx", "A 36007-2025")</f>
        <v/>
      </c>
      <c r="X21">
        <f>HYPERLINK("https://klasma.github.io/Logging_2084/tillsyn/A 36007-2025 tillsynsbegäran.docx", "A 36007-2025")</f>
        <v/>
      </c>
      <c r="Y21">
        <f>HYPERLINK("https://klasma.github.io/Logging_2084/tillsynsmail/A 36007-2025 tillsynsbegäran mail.docx", "A 36007-2025")</f>
        <v/>
      </c>
    </row>
    <row r="22" ht="15" customHeight="1">
      <c r="A22" t="inlineStr">
        <is>
          <t>A 36002-2025</t>
        </is>
      </c>
      <c r="B22" s="1" t="n">
        <v>45863.54122685185</v>
      </c>
      <c r="C22" s="1" t="n">
        <v>45998</v>
      </c>
      <c r="D22" t="inlineStr">
        <is>
          <t>DALARNAS LÄN</t>
        </is>
      </c>
      <c r="E22" t="inlineStr">
        <is>
          <t>AVESTA</t>
        </is>
      </c>
      <c r="F22" t="inlineStr">
        <is>
          <t>Sveaskog</t>
        </is>
      </c>
      <c r="G22" t="n">
        <v>14</v>
      </c>
      <c r="H22" t="n">
        <v>1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1</v>
      </c>
      <c r="R22" s="2" t="inlineStr">
        <is>
          <t>Fläcknycklar</t>
        </is>
      </c>
      <c r="S22">
        <f>HYPERLINK("https://klasma.github.io/Logging_2084/artfynd/A 36002-2025 artfynd.xlsx", "A 36002-2025")</f>
        <v/>
      </c>
      <c r="T22">
        <f>HYPERLINK("https://klasma.github.io/Logging_2084/kartor/A 36002-2025 karta.png", "A 36002-2025")</f>
        <v/>
      </c>
      <c r="V22">
        <f>HYPERLINK("https://klasma.github.io/Logging_2084/klagomål/A 36002-2025 FSC-klagomål.docx", "A 36002-2025")</f>
        <v/>
      </c>
      <c r="W22">
        <f>HYPERLINK("https://klasma.github.io/Logging_2084/klagomålsmail/A 36002-2025 FSC-klagomål mail.docx", "A 36002-2025")</f>
        <v/>
      </c>
      <c r="X22">
        <f>HYPERLINK("https://klasma.github.io/Logging_2084/tillsyn/A 36002-2025 tillsynsbegäran.docx", "A 36002-2025")</f>
        <v/>
      </c>
      <c r="Y22">
        <f>HYPERLINK("https://klasma.github.io/Logging_2084/tillsynsmail/A 36002-2025 tillsynsbegäran mail.docx", "A 36002-2025")</f>
        <v/>
      </c>
    </row>
    <row r="23" ht="15" customHeight="1">
      <c r="A23" t="inlineStr">
        <is>
          <t>A 56786-2024</t>
        </is>
      </c>
      <c r="B23" s="1" t="n">
        <v>45628</v>
      </c>
      <c r="C23" s="1" t="n">
        <v>45998</v>
      </c>
      <c r="D23" t="inlineStr">
        <is>
          <t>DALARNAS LÄN</t>
        </is>
      </c>
      <c r="E23" t="inlineStr">
        <is>
          <t>AVESTA</t>
        </is>
      </c>
      <c r="G23" t="n">
        <v>4.7</v>
      </c>
      <c r="H23" t="n">
        <v>1</v>
      </c>
      <c r="I23" t="n">
        <v>0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1</v>
      </c>
      <c r="P23" t="n">
        <v>1</v>
      </c>
      <c r="Q23" t="n">
        <v>1</v>
      </c>
      <c r="R23" s="2" t="inlineStr">
        <is>
          <t>Knärot</t>
        </is>
      </c>
      <c r="S23">
        <f>HYPERLINK("https://klasma.github.io/Logging_2084/artfynd/A 56786-2024 artfynd.xlsx", "A 56786-2024")</f>
        <v/>
      </c>
      <c r="T23">
        <f>HYPERLINK("https://klasma.github.io/Logging_2084/kartor/A 56786-2024 karta.png", "A 56786-2024")</f>
        <v/>
      </c>
      <c r="U23">
        <f>HYPERLINK("https://klasma.github.io/Logging_2084/knärot/A 56786-2024 karta knärot.png", "A 56786-2024")</f>
        <v/>
      </c>
      <c r="V23">
        <f>HYPERLINK("https://klasma.github.io/Logging_2084/klagomål/A 56786-2024 FSC-klagomål.docx", "A 56786-2024")</f>
        <v/>
      </c>
      <c r="W23">
        <f>HYPERLINK("https://klasma.github.io/Logging_2084/klagomålsmail/A 56786-2024 FSC-klagomål mail.docx", "A 56786-2024")</f>
        <v/>
      </c>
      <c r="X23">
        <f>HYPERLINK("https://klasma.github.io/Logging_2084/tillsyn/A 56786-2024 tillsynsbegäran.docx", "A 56786-2024")</f>
        <v/>
      </c>
      <c r="Y23">
        <f>HYPERLINK("https://klasma.github.io/Logging_2084/tillsynsmail/A 56786-2024 tillsynsbegäran mail.docx", "A 56786-2024")</f>
        <v/>
      </c>
    </row>
    <row r="24" ht="15" customHeight="1">
      <c r="A24" t="inlineStr">
        <is>
          <t>A 46332-2025</t>
        </is>
      </c>
      <c r="B24" s="1" t="n">
        <v>45925.45873842593</v>
      </c>
      <c r="C24" s="1" t="n">
        <v>45998</v>
      </c>
      <c r="D24" t="inlineStr">
        <is>
          <t>DALARNAS LÄN</t>
        </is>
      </c>
      <c r="E24" t="inlineStr">
        <is>
          <t>AVESTA</t>
        </is>
      </c>
      <c r="G24" t="n">
        <v>3.6</v>
      </c>
      <c r="H24" t="n">
        <v>1</v>
      </c>
      <c r="I24" t="n">
        <v>0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1</v>
      </c>
      <c r="P24" t="n">
        <v>1</v>
      </c>
      <c r="Q24" t="n">
        <v>1</v>
      </c>
      <c r="R24" s="2" t="inlineStr">
        <is>
          <t>Knärot</t>
        </is>
      </c>
      <c r="S24">
        <f>HYPERLINK("https://klasma.github.io/Logging_2084/artfynd/A 46332-2025 artfynd.xlsx", "A 46332-2025")</f>
        <v/>
      </c>
      <c r="T24">
        <f>HYPERLINK("https://klasma.github.io/Logging_2084/kartor/A 46332-2025 karta.png", "A 46332-2025")</f>
        <v/>
      </c>
      <c r="U24">
        <f>HYPERLINK("https://klasma.github.io/Logging_2084/knärot/A 46332-2025 karta knärot.png", "A 46332-2025")</f>
        <v/>
      </c>
      <c r="V24">
        <f>HYPERLINK("https://klasma.github.io/Logging_2084/klagomål/A 46332-2025 FSC-klagomål.docx", "A 46332-2025")</f>
        <v/>
      </c>
      <c r="W24">
        <f>HYPERLINK("https://klasma.github.io/Logging_2084/klagomålsmail/A 46332-2025 FSC-klagomål mail.docx", "A 46332-2025")</f>
        <v/>
      </c>
      <c r="X24">
        <f>HYPERLINK("https://klasma.github.io/Logging_2084/tillsyn/A 46332-2025 tillsynsbegäran.docx", "A 46332-2025")</f>
        <v/>
      </c>
      <c r="Y24">
        <f>HYPERLINK("https://klasma.github.io/Logging_2084/tillsynsmail/A 46332-2025 tillsynsbegäran mail.docx", "A 46332-2025")</f>
        <v/>
      </c>
    </row>
    <row r="25" ht="15" customHeight="1">
      <c r="A25" t="inlineStr">
        <is>
          <t>A 60446-2025</t>
        </is>
      </c>
      <c r="B25" s="1" t="n">
        <v>45995.49295138889</v>
      </c>
      <c r="C25" s="1" t="n">
        <v>45998</v>
      </c>
      <c r="D25" t="inlineStr">
        <is>
          <t>DALARNAS LÄN</t>
        </is>
      </c>
      <c r="E25" t="inlineStr">
        <is>
          <t>AVESTA</t>
        </is>
      </c>
      <c r="F25" t="inlineStr">
        <is>
          <t>Sveaskog</t>
        </is>
      </c>
      <c r="G25" t="n">
        <v>1.9</v>
      </c>
      <c r="H25" t="n">
        <v>0</v>
      </c>
      <c r="I25" t="n">
        <v>0</v>
      </c>
      <c r="J25" t="n">
        <v>1</v>
      </c>
      <c r="K25" t="n">
        <v>0</v>
      </c>
      <c r="L25" t="n">
        <v>0</v>
      </c>
      <c r="M25" t="n">
        <v>0</v>
      </c>
      <c r="N25" t="n">
        <v>0</v>
      </c>
      <c r="O25" t="n">
        <v>1</v>
      </c>
      <c r="P25" t="n">
        <v>0</v>
      </c>
      <c r="Q25" t="n">
        <v>1</v>
      </c>
      <c r="R25" s="2" t="inlineStr">
        <is>
          <t>Ullticka</t>
        </is>
      </c>
      <c r="S25">
        <f>HYPERLINK("https://klasma.github.io/Logging_2084/artfynd/A 60446-2025 artfynd.xlsx", "A 60446-2025")</f>
        <v/>
      </c>
      <c r="T25">
        <f>HYPERLINK("https://klasma.github.io/Logging_2084/kartor/A 60446-2025 karta.png", "A 60446-2025")</f>
        <v/>
      </c>
      <c r="V25">
        <f>HYPERLINK("https://klasma.github.io/Logging_2084/klagomål/A 60446-2025 FSC-klagomål.docx", "A 60446-2025")</f>
        <v/>
      </c>
      <c r="W25">
        <f>HYPERLINK("https://klasma.github.io/Logging_2084/klagomålsmail/A 60446-2025 FSC-klagomål mail.docx", "A 60446-2025")</f>
        <v/>
      </c>
      <c r="X25">
        <f>HYPERLINK("https://klasma.github.io/Logging_2084/tillsyn/A 60446-2025 tillsynsbegäran.docx", "A 60446-2025")</f>
        <v/>
      </c>
      <c r="Y25">
        <f>HYPERLINK("https://klasma.github.io/Logging_2084/tillsynsmail/A 60446-2025 tillsynsbegäran mail.docx", "A 60446-2025")</f>
        <v/>
      </c>
    </row>
    <row r="26" ht="15" customHeight="1">
      <c r="A26" t="inlineStr">
        <is>
          <t>A 53814-2025</t>
        </is>
      </c>
      <c r="B26" s="1" t="n">
        <v>45961</v>
      </c>
      <c r="C26" s="1" t="n">
        <v>45998</v>
      </c>
      <c r="D26" t="inlineStr">
        <is>
          <t>DALARNAS LÄN</t>
        </is>
      </c>
      <c r="E26" t="inlineStr">
        <is>
          <t>AVESTA</t>
        </is>
      </c>
      <c r="G26" t="n">
        <v>2.1</v>
      </c>
      <c r="H26" t="n">
        <v>1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1</v>
      </c>
      <c r="R26" s="2" t="inlineStr">
        <is>
          <t>Mattlummer</t>
        </is>
      </c>
      <c r="S26">
        <f>HYPERLINK("https://klasma.github.io/Logging_2084/artfynd/A 53814-2025 artfynd.xlsx", "A 53814-2025")</f>
        <v/>
      </c>
      <c r="T26">
        <f>HYPERLINK("https://klasma.github.io/Logging_2084/kartor/A 53814-2025 karta.png", "A 53814-2025")</f>
        <v/>
      </c>
      <c r="V26">
        <f>HYPERLINK("https://klasma.github.io/Logging_2084/klagomål/A 53814-2025 FSC-klagomål.docx", "A 53814-2025")</f>
        <v/>
      </c>
      <c r="W26">
        <f>HYPERLINK("https://klasma.github.io/Logging_2084/klagomålsmail/A 53814-2025 FSC-klagomål mail.docx", "A 53814-2025")</f>
        <v/>
      </c>
      <c r="X26">
        <f>HYPERLINK("https://klasma.github.io/Logging_2084/tillsyn/A 53814-2025 tillsynsbegäran.docx", "A 53814-2025")</f>
        <v/>
      </c>
      <c r="Y26">
        <f>HYPERLINK("https://klasma.github.io/Logging_2084/tillsynsmail/A 53814-2025 tillsynsbegäran mail.docx", "A 53814-2025")</f>
        <v/>
      </c>
    </row>
    <row r="27" ht="15" customHeight="1">
      <c r="A27" t="inlineStr">
        <is>
          <t>A 14252-2021</t>
        </is>
      </c>
      <c r="B27" s="1" t="n">
        <v>44278.5759837963</v>
      </c>
      <c r="C27" s="1" t="n">
        <v>45998</v>
      </c>
      <c r="D27" t="inlineStr">
        <is>
          <t>DALARNAS LÄN</t>
        </is>
      </c>
      <c r="E27" t="inlineStr">
        <is>
          <t>AVESTA</t>
        </is>
      </c>
      <c r="G27" t="n">
        <v>11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13613-2021</t>
        </is>
      </c>
      <c r="B28" s="1" t="n">
        <v>44274.37855324074</v>
      </c>
      <c r="C28" s="1" t="n">
        <v>45998</v>
      </c>
      <c r="D28" t="inlineStr">
        <is>
          <t>DALARNAS LÄN</t>
        </is>
      </c>
      <c r="E28" t="inlineStr">
        <is>
          <t>AVESTA</t>
        </is>
      </c>
      <c r="G28" t="n">
        <v>1.7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5704-2021</t>
        </is>
      </c>
      <c r="B29" s="1" t="n">
        <v>44230</v>
      </c>
      <c r="C29" s="1" t="n">
        <v>45998</v>
      </c>
      <c r="D29" t="inlineStr">
        <is>
          <t>DALARNAS LÄN</t>
        </is>
      </c>
      <c r="E29" t="inlineStr">
        <is>
          <t>AVESTA</t>
        </is>
      </c>
      <c r="G29" t="n">
        <v>5.1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28521-2021</t>
        </is>
      </c>
      <c r="B30" s="1" t="n">
        <v>44356</v>
      </c>
      <c r="C30" s="1" t="n">
        <v>45998</v>
      </c>
      <c r="D30" t="inlineStr">
        <is>
          <t>DALARNAS LÄN</t>
        </is>
      </c>
      <c r="E30" t="inlineStr">
        <is>
          <t>AVESTA</t>
        </is>
      </c>
      <c r="G30" t="n">
        <v>1.3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46175-2021</t>
        </is>
      </c>
      <c r="B31" s="1" t="n">
        <v>44442.44880787037</v>
      </c>
      <c r="C31" s="1" t="n">
        <v>45998</v>
      </c>
      <c r="D31" t="inlineStr">
        <is>
          <t>DALARNAS LÄN</t>
        </is>
      </c>
      <c r="E31" t="inlineStr">
        <is>
          <t>AVESTA</t>
        </is>
      </c>
      <c r="F31" t="inlineStr">
        <is>
          <t>Sveaskog</t>
        </is>
      </c>
      <c r="G31" t="n">
        <v>0.9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52818-2021</t>
        </is>
      </c>
      <c r="B32" s="1" t="n">
        <v>44467</v>
      </c>
      <c r="C32" s="1" t="n">
        <v>45998</v>
      </c>
      <c r="D32" t="inlineStr">
        <is>
          <t>DALARNAS LÄN</t>
        </is>
      </c>
      <c r="E32" t="inlineStr">
        <is>
          <t>AVESTA</t>
        </is>
      </c>
      <c r="G32" t="n">
        <v>0.7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18896-2021</t>
        </is>
      </c>
      <c r="B33" s="1" t="n">
        <v>44308.34251157408</v>
      </c>
      <c r="C33" s="1" t="n">
        <v>45998</v>
      </c>
      <c r="D33" t="inlineStr">
        <is>
          <t>DALARNAS LÄN</t>
        </is>
      </c>
      <c r="E33" t="inlineStr">
        <is>
          <t>AVESTA</t>
        </is>
      </c>
      <c r="F33" t="inlineStr">
        <is>
          <t>Sveaskog</t>
        </is>
      </c>
      <c r="G33" t="n">
        <v>0.6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28514-2021</t>
        </is>
      </c>
      <c r="B34" s="1" t="n">
        <v>44356</v>
      </c>
      <c r="C34" s="1" t="n">
        <v>45998</v>
      </c>
      <c r="D34" t="inlineStr">
        <is>
          <t>DALARNAS LÄN</t>
        </is>
      </c>
      <c r="E34" t="inlineStr">
        <is>
          <t>AVESTA</t>
        </is>
      </c>
      <c r="G34" t="n">
        <v>2.1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28762-2021</t>
        </is>
      </c>
      <c r="B35" s="1" t="n">
        <v>44357.52767361111</v>
      </c>
      <c r="C35" s="1" t="n">
        <v>45998</v>
      </c>
      <c r="D35" t="inlineStr">
        <is>
          <t>DALARNAS LÄN</t>
        </is>
      </c>
      <c r="E35" t="inlineStr">
        <is>
          <t>AVESTA</t>
        </is>
      </c>
      <c r="G35" t="n">
        <v>4.1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2466-2021</t>
        </is>
      </c>
      <c r="B36" s="1" t="n">
        <v>44214</v>
      </c>
      <c r="C36" s="1" t="n">
        <v>45998</v>
      </c>
      <c r="D36" t="inlineStr">
        <is>
          <t>DALARNAS LÄN</t>
        </is>
      </c>
      <c r="E36" t="inlineStr">
        <is>
          <t>AVESTA</t>
        </is>
      </c>
      <c r="G36" t="n">
        <v>4.3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18291-2021</t>
        </is>
      </c>
      <c r="B37" s="1" t="n">
        <v>44305</v>
      </c>
      <c r="C37" s="1" t="n">
        <v>45998</v>
      </c>
      <c r="D37" t="inlineStr">
        <is>
          <t>DALARNAS LÄN</t>
        </is>
      </c>
      <c r="E37" t="inlineStr">
        <is>
          <t>AVESTA</t>
        </is>
      </c>
      <c r="G37" t="n">
        <v>0.9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23005-2021</t>
        </is>
      </c>
      <c r="B38" s="1" t="n">
        <v>44328</v>
      </c>
      <c r="C38" s="1" t="n">
        <v>45998</v>
      </c>
      <c r="D38" t="inlineStr">
        <is>
          <t>DALARNAS LÄN</t>
        </is>
      </c>
      <c r="E38" t="inlineStr">
        <is>
          <t>AVESTA</t>
        </is>
      </c>
      <c r="G38" t="n">
        <v>13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12994-2022</t>
        </is>
      </c>
      <c r="B39" s="1" t="n">
        <v>44643.43207175926</v>
      </c>
      <c r="C39" s="1" t="n">
        <v>45998</v>
      </c>
      <c r="D39" t="inlineStr">
        <is>
          <t>DALARNAS LÄN</t>
        </is>
      </c>
      <c r="E39" t="inlineStr">
        <is>
          <t>AVESTA</t>
        </is>
      </c>
      <c r="G39" t="n">
        <v>0.7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23976-2022</t>
        </is>
      </c>
      <c r="B40" s="1" t="n">
        <v>44722.83488425926</v>
      </c>
      <c r="C40" s="1" t="n">
        <v>45998</v>
      </c>
      <c r="D40" t="inlineStr">
        <is>
          <t>DALARNAS LÄN</t>
        </is>
      </c>
      <c r="E40" t="inlineStr">
        <is>
          <t>AVESTA</t>
        </is>
      </c>
      <c r="F40" t="inlineStr">
        <is>
          <t>Sveaskog</t>
        </is>
      </c>
      <c r="G40" t="n">
        <v>0.5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46221-2021</t>
        </is>
      </c>
      <c r="B41" s="1" t="n">
        <v>44442</v>
      </c>
      <c r="C41" s="1" t="n">
        <v>45998</v>
      </c>
      <c r="D41" t="inlineStr">
        <is>
          <t>DALARNAS LÄN</t>
        </is>
      </c>
      <c r="E41" t="inlineStr">
        <is>
          <t>AVESTA</t>
        </is>
      </c>
      <c r="G41" t="n">
        <v>2.4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5769-2021</t>
        </is>
      </c>
      <c r="B42" s="1" t="n">
        <v>44230</v>
      </c>
      <c r="C42" s="1" t="n">
        <v>45998</v>
      </c>
      <c r="D42" t="inlineStr">
        <is>
          <t>DALARNAS LÄN</t>
        </is>
      </c>
      <c r="E42" t="inlineStr">
        <is>
          <t>AVESTA</t>
        </is>
      </c>
      <c r="G42" t="n">
        <v>1.2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42591-2022</t>
        </is>
      </c>
      <c r="B43" s="1" t="n">
        <v>44831.72481481481</v>
      </c>
      <c r="C43" s="1" t="n">
        <v>45998</v>
      </c>
      <c r="D43" t="inlineStr">
        <is>
          <t>DALARNAS LÄN</t>
        </is>
      </c>
      <c r="E43" t="inlineStr">
        <is>
          <t>AVESTA</t>
        </is>
      </c>
      <c r="G43" t="n">
        <v>1.4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65738-2021</t>
        </is>
      </c>
      <c r="B44" s="1" t="n">
        <v>44516</v>
      </c>
      <c r="C44" s="1" t="n">
        <v>45998</v>
      </c>
      <c r="D44" t="inlineStr">
        <is>
          <t>DALARNAS LÄN</t>
        </is>
      </c>
      <c r="E44" t="inlineStr">
        <is>
          <t>AVESTA</t>
        </is>
      </c>
      <c r="G44" t="n">
        <v>1.9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28403-2022</t>
        </is>
      </c>
      <c r="B45" s="1" t="n">
        <v>44747</v>
      </c>
      <c r="C45" s="1" t="n">
        <v>45998</v>
      </c>
      <c r="D45" t="inlineStr">
        <is>
          <t>DALARNAS LÄN</t>
        </is>
      </c>
      <c r="E45" t="inlineStr">
        <is>
          <t>AVESTA</t>
        </is>
      </c>
      <c r="G45" t="n">
        <v>9.4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32258-2021</t>
        </is>
      </c>
      <c r="B46" s="1" t="n">
        <v>44371.46142361111</v>
      </c>
      <c r="C46" s="1" t="n">
        <v>45998</v>
      </c>
      <c r="D46" t="inlineStr">
        <is>
          <t>DALARNAS LÄN</t>
        </is>
      </c>
      <c r="E46" t="inlineStr">
        <is>
          <t>AVESTA</t>
        </is>
      </c>
      <c r="G46" t="n">
        <v>3.7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42326-2021</t>
        </is>
      </c>
      <c r="B47" s="1" t="n">
        <v>44427.39738425926</v>
      </c>
      <c r="C47" s="1" t="n">
        <v>45998</v>
      </c>
      <c r="D47" t="inlineStr">
        <is>
          <t>DALARNAS LÄN</t>
        </is>
      </c>
      <c r="E47" t="inlineStr">
        <is>
          <t>AVESTA</t>
        </is>
      </c>
      <c r="G47" t="n">
        <v>0.8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56171-2021</t>
        </is>
      </c>
      <c r="B48" s="1" t="n">
        <v>44477.68685185185</v>
      </c>
      <c r="C48" s="1" t="n">
        <v>45998</v>
      </c>
      <c r="D48" t="inlineStr">
        <is>
          <t>DALARNAS LÄN</t>
        </is>
      </c>
      <c r="E48" t="inlineStr">
        <is>
          <t>AVESTA</t>
        </is>
      </c>
      <c r="G48" t="n">
        <v>1.2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1864-2021</t>
        </is>
      </c>
      <c r="B49" s="1" t="n">
        <v>44210</v>
      </c>
      <c r="C49" s="1" t="n">
        <v>45998</v>
      </c>
      <c r="D49" t="inlineStr">
        <is>
          <t>DALARNAS LÄN</t>
        </is>
      </c>
      <c r="E49" t="inlineStr">
        <is>
          <t>AVESTA</t>
        </is>
      </c>
      <c r="G49" t="n">
        <v>1.1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42837-2022</t>
        </is>
      </c>
      <c r="B50" s="1" t="n">
        <v>44832.65900462963</v>
      </c>
      <c r="C50" s="1" t="n">
        <v>45998</v>
      </c>
      <c r="D50" t="inlineStr">
        <is>
          <t>DALARNAS LÄN</t>
        </is>
      </c>
      <c r="E50" t="inlineStr">
        <is>
          <t>AVESTA</t>
        </is>
      </c>
      <c r="G50" t="n">
        <v>3.9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26086-2021</t>
        </is>
      </c>
      <c r="B51" s="1" t="n">
        <v>44344.89709490741</v>
      </c>
      <c r="C51" s="1" t="n">
        <v>45998</v>
      </c>
      <c r="D51" t="inlineStr">
        <is>
          <t>DALARNAS LÄN</t>
        </is>
      </c>
      <c r="E51" t="inlineStr">
        <is>
          <t>AVESTA</t>
        </is>
      </c>
      <c r="F51" t="inlineStr">
        <is>
          <t>Sveaskog</t>
        </is>
      </c>
      <c r="G51" t="n">
        <v>1.1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1977-2022</t>
        </is>
      </c>
      <c r="B52" s="1" t="n">
        <v>44575</v>
      </c>
      <c r="C52" s="1" t="n">
        <v>45998</v>
      </c>
      <c r="D52" t="inlineStr">
        <is>
          <t>DALARNAS LÄN</t>
        </is>
      </c>
      <c r="E52" t="inlineStr">
        <is>
          <t>AVESTA</t>
        </is>
      </c>
      <c r="G52" t="n">
        <v>2.3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44133-2022</t>
        </is>
      </c>
      <c r="B53" s="1" t="n">
        <v>44839</v>
      </c>
      <c r="C53" s="1" t="n">
        <v>45998</v>
      </c>
      <c r="D53" t="inlineStr">
        <is>
          <t>DALARNAS LÄN</t>
        </is>
      </c>
      <c r="E53" t="inlineStr">
        <is>
          <t>AVESTA</t>
        </is>
      </c>
      <c r="G53" t="n">
        <v>0.5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28403-2022</t>
        </is>
      </c>
      <c r="B54" s="1" t="n">
        <v>44747</v>
      </c>
      <c r="C54" s="1" t="n">
        <v>45998</v>
      </c>
      <c r="D54" t="inlineStr">
        <is>
          <t>DALARNAS LÄN</t>
        </is>
      </c>
      <c r="E54" t="inlineStr">
        <is>
          <t>AVESTA</t>
        </is>
      </c>
      <c r="G54" t="n">
        <v>6.3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46819-2022</t>
        </is>
      </c>
      <c r="B55" s="1" t="n">
        <v>44851</v>
      </c>
      <c r="C55" s="1" t="n">
        <v>45998</v>
      </c>
      <c r="D55" t="inlineStr">
        <is>
          <t>DALARNAS LÄN</t>
        </is>
      </c>
      <c r="E55" t="inlineStr">
        <is>
          <t>AVESTA</t>
        </is>
      </c>
      <c r="G55" t="n">
        <v>2.1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15087-2021</t>
        </is>
      </c>
      <c r="B56" s="1" t="n">
        <v>44281.70380787037</v>
      </c>
      <c r="C56" s="1" t="n">
        <v>45998</v>
      </c>
      <c r="D56" t="inlineStr">
        <is>
          <t>DALARNAS LÄN</t>
        </is>
      </c>
      <c r="E56" t="inlineStr">
        <is>
          <t>AVESTA</t>
        </is>
      </c>
      <c r="G56" t="n">
        <v>1.1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56954-2021</t>
        </is>
      </c>
      <c r="B57" s="1" t="n">
        <v>44482</v>
      </c>
      <c r="C57" s="1" t="n">
        <v>45998</v>
      </c>
      <c r="D57" t="inlineStr">
        <is>
          <t>DALARNAS LÄN</t>
        </is>
      </c>
      <c r="E57" t="inlineStr">
        <is>
          <t>AVESTA</t>
        </is>
      </c>
      <c r="F57" t="inlineStr">
        <is>
          <t>Sveaskog</t>
        </is>
      </c>
      <c r="G57" t="n">
        <v>1.1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64768-2021</t>
        </is>
      </c>
      <c r="B58" s="1" t="n">
        <v>44512.45628472222</v>
      </c>
      <c r="C58" s="1" t="n">
        <v>45998</v>
      </c>
      <c r="D58" t="inlineStr">
        <is>
          <t>DALARNAS LÄN</t>
        </is>
      </c>
      <c r="E58" t="inlineStr">
        <is>
          <t>AVESTA</t>
        </is>
      </c>
      <c r="G58" t="n">
        <v>0.9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31226-2021</t>
        </is>
      </c>
      <c r="B59" s="1" t="n">
        <v>44368.64753472222</v>
      </c>
      <c r="C59" s="1" t="n">
        <v>45998</v>
      </c>
      <c r="D59" t="inlineStr">
        <is>
          <t>DALARNAS LÄN</t>
        </is>
      </c>
      <c r="E59" t="inlineStr">
        <is>
          <t>AVESTA</t>
        </is>
      </c>
      <c r="F59" t="inlineStr">
        <is>
          <t>Sveaskog</t>
        </is>
      </c>
      <c r="G59" t="n">
        <v>0.9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49392-2021</t>
        </is>
      </c>
      <c r="B60" s="1" t="n">
        <v>44454</v>
      </c>
      <c r="C60" s="1" t="n">
        <v>45998</v>
      </c>
      <c r="D60" t="inlineStr">
        <is>
          <t>DALARNAS LÄN</t>
        </is>
      </c>
      <c r="E60" t="inlineStr">
        <is>
          <t>AVESTA</t>
        </is>
      </c>
      <c r="G60" t="n">
        <v>8.9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45606-2021</t>
        </is>
      </c>
      <c r="B61" s="1" t="n">
        <v>44440.85440972223</v>
      </c>
      <c r="C61" s="1" t="n">
        <v>45998</v>
      </c>
      <c r="D61" t="inlineStr">
        <is>
          <t>DALARNAS LÄN</t>
        </is>
      </c>
      <c r="E61" t="inlineStr">
        <is>
          <t>AVESTA</t>
        </is>
      </c>
      <c r="G61" t="n">
        <v>1.3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32613-2021</t>
        </is>
      </c>
      <c r="B62" s="1" t="n">
        <v>44375.39219907407</v>
      </c>
      <c r="C62" s="1" t="n">
        <v>45998</v>
      </c>
      <c r="D62" t="inlineStr">
        <is>
          <t>DALARNAS LÄN</t>
        </is>
      </c>
      <c r="E62" t="inlineStr">
        <is>
          <t>AVESTA</t>
        </is>
      </c>
      <c r="G62" t="n">
        <v>12.1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56428-2021</t>
        </is>
      </c>
      <c r="B63" s="1" t="n">
        <v>44480</v>
      </c>
      <c r="C63" s="1" t="n">
        <v>45998</v>
      </c>
      <c r="D63" t="inlineStr">
        <is>
          <t>DALARNAS LÄN</t>
        </is>
      </c>
      <c r="E63" t="inlineStr">
        <is>
          <t>AVESTA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42735-2021</t>
        </is>
      </c>
      <c r="B64" s="1" t="n">
        <v>44428.60674768518</v>
      </c>
      <c r="C64" s="1" t="n">
        <v>45998</v>
      </c>
      <c r="D64" t="inlineStr">
        <is>
          <t>DALARNAS LÄN</t>
        </is>
      </c>
      <c r="E64" t="inlineStr">
        <is>
          <t>AVESTA</t>
        </is>
      </c>
      <c r="G64" t="n">
        <v>1.5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12231-2025</t>
        </is>
      </c>
      <c r="B65" s="1" t="n">
        <v>45729.57234953704</v>
      </c>
      <c r="C65" s="1" t="n">
        <v>45998</v>
      </c>
      <c r="D65" t="inlineStr">
        <is>
          <t>DALARNAS LÄN</t>
        </is>
      </c>
      <c r="E65" t="inlineStr">
        <is>
          <t>AVESTA</t>
        </is>
      </c>
      <c r="G65" t="n">
        <v>1.8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46253-2023</t>
        </is>
      </c>
      <c r="B66" s="1" t="n">
        <v>45196.93763888889</v>
      </c>
      <c r="C66" s="1" t="n">
        <v>45998</v>
      </c>
      <c r="D66" t="inlineStr">
        <is>
          <t>DALARNAS LÄN</t>
        </is>
      </c>
      <c r="E66" t="inlineStr">
        <is>
          <t>AVESTA</t>
        </is>
      </c>
      <c r="F66" t="inlineStr">
        <is>
          <t>Sveaskog</t>
        </is>
      </c>
      <c r="G66" t="n">
        <v>6.8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46279-2023</t>
        </is>
      </c>
      <c r="B67" s="1" t="n">
        <v>45196.94094907407</v>
      </c>
      <c r="C67" s="1" t="n">
        <v>45998</v>
      </c>
      <c r="D67" t="inlineStr">
        <is>
          <t>DALARNAS LÄN</t>
        </is>
      </c>
      <c r="E67" t="inlineStr">
        <is>
          <t>AVESTA</t>
        </is>
      </c>
      <c r="F67" t="inlineStr">
        <is>
          <t>Sveaskog</t>
        </is>
      </c>
      <c r="G67" t="n">
        <v>2.5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39164-2021</t>
        </is>
      </c>
      <c r="B68" s="1" t="n">
        <v>44412</v>
      </c>
      <c r="C68" s="1" t="n">
        <v>45998</v>
      </c>
      <c r="D68" t="inlineStr">
        <is>
          <t>DALARNAS LÄN</t>
        </is>
      </c>
      <c r="E68" t="inlineStr">
        <is>
          <t>AVESTA</t>
        </is>
      </c>
      <c r="G68" t="n">
        <v>1.3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14023-2023</t>
        </is>
      </c>
      <c r="B69" s="1" t="n">
        <v>45007</v>
      </c>
      <c r="C69" s="1" t="n">
        <v>45998</v>
      </c>
      <c r="D69" t="inlineStr">
        <is>
          <t>DALARNAS LÄN</t>
        </is>
      </c>
      <c r="E69" t="inlineStr">
        <is>
          <t>AVESTA</t>
        </is>
      </c>
      <c r="G69" t="n">
        <v>1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16522-2025</t>
        </is>
      </c>
      <c r="B70" s="1" t="n">
        <v>45751.63969907408</v>
      </c>
      <c r="C70" s="1" t="n">
        <v>45998</v>
      </c>
      <c r="D70" t="inlineStr">
        <is>
          <t>DALARNAS LÄN</t>
        </is>
      </c>
      <c r="E70" t="inlineStr">
        <is>
          <t>AVESTA</t>
        </is>
      </c>
      <c r="G70" t="n">
        <v>0.3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62130-2023</t>
        </is>
      </c>
      <c r="B71" s="1" t="n">
        <v>45267.34677083333</v>
      </c>
      <c r="C71" s="1" t="n">
        <v>45998</v>
      </c>
      <c r="D71" t="inlineStr">
        <is>
          <t>DALARNAS LÄN</t>
        </is>
      </c>
      <c r="E71" t="inlineStr">
        <is>
          <t>AVESTA</t>
        </is>
      </c>
      <c r="G71" t="n">
        <v>1.7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30862-2024</t>
        </is>
      </c>
      <c r="B72" s="1" t="n">
        <v>45497.7091087963</v>
      </c>
      <c r="C72" s="1" t="n">
        <v>45998</v>
      </c>
      <c r="D72" t="inlineStr">
        <is>
          <t>DALARNAS LÄN</t>
        </is>
      </c>
      <c r="E72" t="inlineStr">
        <is>
          <t>AVESTA</t>
        </is>
      </c>
      <c r="F72" t="inlineStr">
        <is>
          <t>Sveaskog</t>
        </is>
      </c>
      <c r="G72" t="n">
        <v>0.9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55549-2023</t>
        </is>
      </c>
      <c r="B73" s="1" t="n">
        <v>45232</v>
      </c>
      <c r="C73" s="1" t="n">
        <v>45998</v>
      </c>
      <c r="D73" t="inlineStr">
        <is>
          <t>DALARNAS LÄN</t>
        </is>
      </c>
      <c r="E73" t="inlineStr">
        <is>
          <t>AVESTA</t>
        </is>
      </c>
      <c r="G73" t="n">
        <v>1.2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10078-2025</t>
        </is>
      </c>
      <c r="B74" s="1" t="n">
        <v>45719.55408564815</v>
      </c>
      <c r="C74" s="1" t="n">
        <v>45998</v>
      </c>
      <c r="D74" t="inlineStr">
        <is>
          <t>DALARNAS LÄN</t>
        </is>
      </c>
      <c r="E74" t="inlineStr">
        <is>
          <t>AVESTA</t>
        </is>
      </c>
      <c r="G74" t="n">
        <v>0.6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25960-2022</t>
        </is>
      </c>
      <c r="B75" s="1" t="n">
        <v>44734.45548611111</v>
      </c>
      <c r="C75" s="1" t="n">
        <v>45998</v>
      </c>
      <c r="D75" t="inlineStr">
        <is>
          <t>DALARNAS LÄN</t>
        </is>
      </c>
      <c r="E75" t="inlineStr">
        <is>
          <t>AVESTA</t>
        </is>
      </c>
      <c r="G75" t="n">
        <v>1.5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10566-2025</t>
        </is>
      </c>
      <c r="B76" s="1" t="n">
        <v>45721.53792824074</v>
      </c>
      <c r="C76" s="1" t="n">
        <v>45998</v>
      </c>
      <c r="D76" t="inlineStr">
        <is>
          <t>DALARNAS LÄN</t>
        </is>
      </c>
      <c r="E76" t="inlineStr">
        <is>
          <t>AVESTA</t>
        </is>
      </c>
      <c r="F76" t="inlineStr">
        <is>
          <t>Sveaskog</t>
        </is>
      </c>
      <c r="G76" t="n">
        <v>1.1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12249-2025</t>
        </is>
      </c>
      <c r="B77" s="1" t="n">
        <v>45729.60373842593</v>
      </c>
      <c r="C77" s="1" t="n">
        <v>45998</v>
      </c>
      <c r="D77" t="inlineStr">
        <is>
          <t>DALARNAS LÄN</t>
        </is>
      </c>
      <c r="E77" t="inlineStr">
        <is>
          <t>AVESTA</t>
        </is>
      </c>
      <c r="G77" t="n">
        <v>1.7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50900-2022</t>
        </is>
      </c>
      <c r="B78" s="1" t="n">
        <v>44865</v>
      </c>
      <c r="C78" s="1" t="n">
        <v>45998</v>
      </c>
      <c r="D78" t="inlineStr">
        <is>
          <t>DALARNAS LÄN</t>
        </is>
      </c>
      <c r="E78" t="inlineStr">
        <is>
          <t>AVESTA</t>
        </is>
      </c>
      <c r="G78" t="n">
        <v>14.8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34190-2023</t>
        </is>
      </c>
      <c r="B79" s="1" t="n">
        <v>45138.40166666666</v>
      </c>
      <c r="C79" s="1" t="n">
        <v>45998</v>
      </c>
      <c r="D79" t="inlineStr">
        <is>
          <t>DALARNAS LÄN</t>
        </is>
      </c>
      <c r="E79" t="inlineStr">
        <is>
          <t>AVESTA</t>
        </is>
      </c>
      <c r="G79" t="n">
        <v>5.2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10784-2024</t>
        </is>
      </c>
      <c r="B80" s="1" t="n">
        <v>45369</v>
      </c>
      <c r="C80" s="1" t="n">
        <v>45998</v>
      </c>
      <c r="D80" t="inlineStr">
        <is>
          <t>DALARNAS LÄN</t>
        </is>
      </c>
      <c r="E80" t="inlineStr">
        <is>
          <t>AVESTA</t>
        </is>
      </c>
      <c r="G80" t="n">
        <v>2.2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53119-2022</t>
        </is>
      </c>
      <c r="B81" s="1" t="n">
        <v>44876</v>
      </c>
      <c r="C81" s="1" t="n">
        <v>45998</v>
      </c>
      <c r="D81" t="inlineStr">
        <is>
          <t>DALARNAS LÄN</t>
        </is>
      </c>
      <c r="E81" t="inlineStr">
        <is>
          <t>AVESTA</t>
        </is>
      </c>
      <c r="F81" t="inlineStr">
        <is>
          <t>Kyrkan</t>
        </is>
      </c>
      <c r="G81" t="n">
        <v>0.7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6257-2021</t>
        </is>
      </c>
      <c r="B82" s="1" t="n">
        <v>44232</v>
      </c>
      <c r="C82" s="1" t="n">
        <v>45998</v>
      </c>
      <c r="D82" t="inlineStr">
        <is>
          <t>DALARNAS LÄN</t>
        </is>
      </c>
      <c r="E82" t="inlineStr">
        <is>
          <t>AVESTA</t>
        </is>
      </c>
      <c r="G82" t="n">
        <v>0.7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30524-2024</t>
        </is>
      </c>
      <c r="B83" s="1" t="n">
        <v>45492.53064814815</v>
      </c>
      <c r="C83" s="1" t="n">
        <v>45998</v>
      </c>
      <c r="D83" t="inlineStr">
        <is>
          <t>DALARNAS LÄN</t>
        </is>
      </c>
      <c r="E83" t="inlineStr">
        <is>
          <t>AVESTA</t>
        </is>
      </c>
      <c r="F83" t="inlineStr">
        <is>
          <t>Sveaskog</t>
        </is>
      </c>
      <c r="G83" t="n">
        <v>8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21534-2024</t>
        </is>
      </c>
      <c r="B84" s="1" t="n">
        <v>45441.59877314815</v>
      </c>
      <c r="C84" s="1" t="n">
        <v>45998</v>
      </c>
      <c r="D84" t="inlineStr">
        <is>
          <t>DALARNAS LÄN</t>
        </is>
      </c>
      <c r="E84" t="inlineStr">
        <is>
          <t>AVESTA</t>
        </is>
      </c>
      <c r="G84" t="n">
        <v>2.8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14084-2023</t>
        </is>
      </c>
      <c r="B85" s="1" t="n">
        <v>45009.32672453704</v>
      </c>
      <c r="C85" s="1" t="n">
        <v>45998</v>
      </c>
      <c r="D85" t="inlineStr">
        <is>
          <t>DALARNAS LÄN</t>
        </is>
      </c>
      <c r="E85" t="inlineStr">
        <is>
          <t>AVESTA</t>
        </is>
      </c>
      <c r="G85" t="n">
        <v>1.2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14090-2023</t>
        </is>
      </c>
      <c r="B86" s="1" t="n">
        <v>45009</v>
      </c>
      <c r="C86" s="1" t="n">
        <v>45998</v>
      </c>
      <c r="D86" t="inlineStr">
        <is>
          <t>DALARNAS LÄN</t>
        </is>
      </c>
      <c r="E86" t="inlineStr">
        <is>
          <t>AVESTA</t>
        </is>
      </c>
      <c r="G86" t="n">
        <v>0.6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44710-2021</t>
        </is>
      </c>
      <c r="B87" s="1" t="n">
        <v>44438.37149305556</v>
      </c>
      <c r="C87" s="1" t="n">
        <v>45998</v>
      </c>
      <c r="D87" t="inlineStr">
        <is>
          <t>DALARNAS LÄN</t>
        </is>
      </c>
      <c r="E87" t="inlineStr">
        <is>
          <t>AVESTA</t>
        </is>
      </c>
      <c r="G87" t="n">
        <v>3.2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23517-2024</t>
        </is>
      </c>
      <c r="B88" s="1" t="n">
        <v>45453.90877314815</v>
      </c>
      <c r="C88" s="1" t="n">
        <v>45998</v>
      </c>
      <c r="D88" t="inlineStr">
        <is>
          <t>DALARNAS LÄN</t>
        </is>
      </c>
      <c r="E88" t="inlineStr">
        <is>
          <t>AVESTA</t>
        </is>
      </c>
      <c r="G88" t="n">
        <v>6.4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73377-2021</t>
        </is>
      </c>
      <c r="B89" s="1" t="n">
        <v>44551</v>
      </c>
      <c r="C89" s="1" t="n">
        <v>45998</v>
      </c>
      <c r="D89" t="inlineStr">
        <is>
          <t>DALARNAS LÄN</t>
        </is>
      </c>
      <c r="E89" t="inlineStr">
        <is>
          <t>AVESTA</t>
        </is>
      </c>
      <c r="G89" t="n">
        <v>1.6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22629-2024</t>
        </is>
      </c>
      <c r="B90" s="1" t="n">
        <v>45447.66854166667</v>
      </c>
      <c r="C90" s="1" t="n">
        <v>45998</v>
      </c>
      <c r="D90" t="inlineStr">
        <is>
          <t>DALARNAS LÄN</t>
        </is>
      </c>
      <c r="E90" t="inlineStr">
        <is>
          <t>AVESTA</t>
        </is>
      </c>
      <c r="G90" t="n">
        <v>3.7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27344-2024</t>
        </is>
      </c>
      <c r="B91" s="1" t="n">
        <v>45473.50560185185</v>
      </c>
      <c r="C91" s="1" t="n">
        <v>45998</v>
      </c>
      <c r="D91" t="inlineStr">
        <is>
          <t>DALARNAS LÄN</t>
        </is>
      </c>
      <c r="E91" t="inlineStr">
        <is>
          <t>AVESTA</t>
        </is>
      </c>
      <c r="G91" t="n">
        <v>0.8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39219-2024</t>
        </is>
      </c>
      <c r="B92" s="1" t="n">
        <v>45549.47034722222</v>
      </c>
      <c r="C92" s="1" t="n">
        <v>45998</v>
      </c>
      <c r="D92" t="inlineStr">
        <is>
          <t>DALARNAS LÄN</t>
        </is>
      </c>
      <c r="E92" t="inlineStr">
        <is>
          <t>AVESTA</t>
        </is>
      </c>
      <c r="F92" t="inlineStr">
        <is>
          <t>Sveaskog</t>
        </is>
      </c>
      <c r="G92" t="n">
        <v>4.9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23500-2024</t>
        </is>
      </c>
      <c r="B93" s="1" t="n">
        <v>45453.72688657408</v>
      </c>
      <c r="C93" s="1" t="n">
        <v>45998</v>
      </c>
      <c r="D93" t="inlineStr">
        <is>
          <t>DALARNAS LÄN</t>
        </is>
      </c>
      <c r="E93" t="inlineStr">
        <is>
          <t>AVESTA</t>
        </is>
      </c>
      <c r="G93" t="n">
        <v>1.8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10573-2025</t>
        </is>
      </c>
      <c r="B94" s="1" t="n">
        <v>45721.54224537037</v>
      </c>
      <c r="C94" s="1" t="n">
        <v>45998</v>
      </c>
      <c r="D94" t="inlineStr">
        <is>
          <t>DALARNAS LÄN</t>
        </is>
      </c>
      <c r="E94" t="inlineStr">
        <is>
          <t>AVESTA</t>
        </is>
      </c>
      <c r="F94" t="inlineStr">
        <is>
          <t>Sveaskog</t>
        </is>
      </c>
      <c r="G94" t="n">
        <v>3.1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16690-2024</t>
        </is>
      </c>
      <c r="B95" s="1" t="n">
        <v>45408</v>
      </c>
      <c r="C95" s="1" t="n">
        <v>45998</v>
      </c>
      <c r="D95" t="inlineStr">
        <is>
          <t>DALARNAS LÄN</t>
        </is>
      </c>
      <c r="E95" t="inlineStr">
        <is>
          <t>AVESTA</t>
        </is>
      </c>
      <c r="F95" t="inlineStr">
        <is>
          <t>Bergvik skog väst AB</t>
        </is>
      </c>
      <c r="G95" t="n">
        <v>5.5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18573-2025</t>
        </is>
      </c>
      <c r="B96" s="1" t="n">
        <v>45763.45927083334</v>
      </c>
      <c r="C96" s="1" t="n">
        <v>45998</v>
      </c>
      <c r="D96" t="inlineStr">
        <is>
          <t>DALARNAS LÄN</t>
        </is>
      </c>
      <c r="E96" t="inlineStr">
        <is>
          <t>AVESTA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10899-2024</t>
        </is>
      </c>
      <c r="B97" s="1" t="n">
        <v>45370.35925925926</v>
      </c>
      <c r="C97" s="1" t="n">
        <v>45998</v>
      </c>
      <c r="D97" t="inlineStr">
        <is>
          <t>DALARNAS LÄN</t>
        </is>
      </c>
      <c r="E97" t="inlineStr">
        <is>
          <t>AVESTA</t>
        </is>
      </c>
      <c r="G97" t="n">
        <v>0.5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43767-2021</t>
        </is>
      </c>
      <c r="B98" s="1" t="n">
        <v>44433.6797337963</v>
      </c>
      <c r="C98" s="1" t="n">
        <v>45998</v>
      </c>
      <c r="D98" t="inlineStr">
        <is>
          <t>DALARNAS LÄN</t>
        </is>
      </c>
      <c r="E98" t="inlineStr">
        <is>
          <t>AVESTA</t>
        </is>
      </c>
      <c r="G98" t="n">
        <v>1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31959-2024</t>
        </is>
      </c>
      <c r="B99" s="1" t="n">
        <v>45510.52006944444</v>
      </c>
      <c r="C99" s="1" t="n">
        <v>45998</v>
      </c>
      <c r="D99" t="inlineStr">
        <is>
          <t>DALARNAS LÄN</t>
        </is>
      </c>
      <c r="E99" t="inlineStr">
        <is>
          <t>AVESTA</t>
        </is>
      </c>
      <c r="G99" t="n">
        <v>1.4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18112-2022</t>
        </is>
      </c>
      <c r="B100" s="1" t="n">
        <v>44684.49467592593</v>
      </c>
      <c r="C100" s="1" t="n">
        <v>45998</v>
      </c>
      <c r="D100" t="inlineStr">
        <is>
          <t>DALARNAS LÄN</t>
        </is>
      </c>
      <c r="E100" t="inlineStr">
        <is>
          <t>AVESTA</t>
        </is>
      </c>
      <c r="G100" t="n">
        <v>1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64561-2023</t>
        </is>
      </c>
      <c r="B101" s="1" t="n">
        <v>45281</v>
      </c>
      <c r="C101" s="1" t="n">
        <v>45998</v>
      </c>
      <c r="D101" t="inlineStr">
        <is>
          <t>DALARNAS LÄN</t>
        </is>
      </c>
      <c r="E101" t="inlineStr">
        <is>
          <t>AVESTA</t>
        </is>
      </c>
      <c r="G101" t="n">
        <v>2.9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64708-2023</t>
        </is>
      </c>
      <c r="B102" s="1" t="n">
        <v>45281.67271990741</v>
      </c>
      <c r="C102" s="1" t="n">
        <v>45998</v>
      </c>
      <c r="D102" t="inlineStr">
        <is>
          <t>DALARNAS LÄN</t>
        </is>
      </c>
      <c r="E102" t="inlineStr">
        <is>
          <t>AVESTA</t>
        </is>
      </c>
      <c r="G102" t="n">
        <v>0.6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56464-2022</t>
        </is>
      </c>
      <c r="B103" s="1" t="n">
        <v>44893</v>
      </c>
      <c r="C103" s="1" t="n">
        <v>45998</v>
      </c>
      <c r="D103" t="inlineStr">
        <is>
          <t>DALARNAS LÄN</t>
        </is>
      </c>
      <c r="E103" t="inlineStr">
        <is>
          <t>AVESTA</t>
        </is>
      </c>
      <c r="G103" t="n">
        <v>6.4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17346-2025</t>
        </is>
      </c>
      <c r="B104" s="1" t="n">
        <v>45756.6733912037</v>
      </c>
      <c r="C104" s="1" t="n">
        <v>45998</v>
      </c>
      <c r="D104" t="inlineStr">
        <is>
          <t>DALARNAS LÄN</t>
        </is>
      </c>
      <c r="E104" t="inlineStr">
        <is>
          <t>AVESTA</t>
        </is>
      </c>
      <c r="G104" t="n">
        <v>0.9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44474-2022</t>
        </is>
      </c>
      <c r="B105" s="1" t="n">
        <v>44840.33315972222</v>
      </c>
      <c r="C105" s="1" t="n">
        <v>45998</v>
      </c>
      <c r="D105" t="inlineStr">
        <is>
          <t>DALARNAS LÄN</t>
        </is>
      </c>
      <c r="E105" t="inlineStr">
        <is>
          <t>AVESTA</t>
        </is>
      </c>
      <c r="G105" t="n">
        <v>0.8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58094-2022</t>
        </is>
      </c>
      <c r="B106" s="1" t="n">
        <v>44900</v>
      </c>
      <c r="C106" s="1" t="n">
        <v>45998</v>
      </c>
      <c r="D106" t="inlineStr">
        <is>
          <t>DALARNAS LÄN</t>
        </is>
      </c>
      <c r="E106" t="inlineStr">
        <is>
          <t>AVESTA</t>
        </is>
      </c>
      <c r="G106" t="n">
        <v>0.8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15361-2023</t>
        </is>
      </c>
      <c r="B107" s="1" t="n">
        <v>45019</v>
      </c>
      <c r="C107" s="1" t="n">
        <v>45998</v>
      </c>
      <c r="D107" t="inlineStr">
        <is>
          <t>DALARNAS LÄN</t>
        </is>
      </c>
      <c r="E107" t="inlineStr">
        <is>
          <t>AVESTA</t>
        </is>
      </c>
      <c r="G107" t="n">
        <v>0.4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27345-2024</t>
        </is>
      </c>
      <c r="B108" s="1" t="n">
        <v>45473.51564814815</v>
      </c>
      <c r="C108" s="1" t="n">
        <v>45998</v>
      </c>
      <c r="D108" t="inlineStr">
        <is>
          <t>DALARNAS LÄN</t>
        </is>
      </c>
      <c r="E108" t="inlineStr">
        <is>
          <t>AVESTA</t>
        </is>
      </c>
      <c r="G108" t="n">
        <v>3.1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30737-2024</t>
        </is>
      </c>
      <c r="B109" s="1" t="n">
        <v>45496.64188657407</v>
      </c>
      <c r="C109" s="1" t="n">
        <v>45998</v>
      </c>
      <c r="D109" t="inlineStr">
        <is>
          <t>DALARNAS LÄN</t>
        </is>
      </c>
      <c r="E109" t="inlineStr">
        <is>
          <t>AVESTA</t>
        </is>
      </c>
      <c r="F109" t="inlineStr">
        <is>
          <t>Sveaskog</t>
        </is>
      </c>
      <c r="G109" t="n">
        <v>1.4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30738-2024</t>
        </is>
      </c>
      <c r="B110" s="1" t="n">
        <v>45496.64266203704</v>
      </c>
      <c r="C110" s="1" t="n">
        <v>45998</v>
      </c>
      <c r="D110" t="inlineStr">
        <is>
          <t>DALARNAS LÄN</t>
        </is>
      </c>
      <c r="E110" t="inlineStr">
        <is>
          <t>AVESTA</t>
        </is>
      </c>
      <c r="F110" t="inlineStr">
        <is>
          <t>Sveaskog</t>
        </is>
      </c>
      <c r="G110" t="n">
        <v>1.3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14944-2023</t>
        </is>
      </c>
      <c r="B111" s="1" t="n">
        <v>45015</v>
      </c>
      <c r="C111" s="1" t="n">
        <v>45998</v>
      </c>
      <c r="D111" t="inlineStr">
        <is>
          <t>DALARNAS LÄN</t>
        </is>
      </c>
      <c r="E111" t="inlineStr">
        <is>
          <t>AVESTA</t>
        </is>
      </c>
      <c r="G111" t="n">
        <v>2.3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7617-2024</t>
        </is>
      </c>
      <c r="B112" s="1" t="n">
        <v>45348.59315972222</v>
      </c>
      <c r="C112" s="1" t="n">
        <v>45998</v>
      </c>
      <c r="D112" t="inlineStr">
        <is>
          <t>DALARNAS LÄN</t>
        </is>
      </c>
      <c r="E112" t="inlineStr">
        <is>
          <t>AVESTA</t>
        </is>
      </c>
      <c r="G112" t="n">
        <v>1.4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61585-2023</t>
        </is>
      </c>
      <c r="B113" s="1" t="n">
        <v>45265.48141203704</v>
      </c>
      <c r="C113" s="1" t="n">
        <v>45998</v>
      </c>
      <c r="D113" t="inlineStr">
        <is>
          <t>DALARNAS LÄN</t>
        </is>
      </c>
      <c r="E113" t="inlineStr">
        <is>
          <t>AVESTA</t>
        </is>
      </c>
      <c r="G113" t="n">
        <v>0.7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9148-2023</t>
        </is>
      </c>
      <c r="B114" s="1" t="n">
        <v>44980</v>
      </c>
      <c r="C114" s="1" t="n">
        <v>45998</v>
      </c>
      <c r="D114" t="inlineStr">
        <is>
          <t>DALARNAS LÄN</t>
        </is>
      </c>
      <c r="E114" t="inlineStr">
        <is>
          <t>AVESTA</t>
        </is>
      </c>
      <c r="G114" t="n">
        <v>4.6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62565-2023</t>
        </is>
      </c>
      <c r="B115" s="1" t="n">
        <v>45269</v>
      </c>
      <c r="C115" s="1" t="n">
        <v>45998</v>
      </c>
      <c r="D115" t="inlineStr">
        <is>
          <t>DALARNAS LÄN</t>
        </is>
      </c>
      <c r="E115" t="inlineStr">
        <is>
          <t>AVESTA</t>
        </is>
      </c>
      <c r="G115" t="n">
        <v>2.2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52767-2022</t>
        </is>
      </c>
      <c r="B116" s="1" t="n">
        <v>44875.34275462963</v>
      </c>
      <c r="C116" s="1" t="n">
        <v>45998</v>
      </c>
      <c r="D116" t="inlineStr">
        <is>
          <t>DALARNAS LÄN</t>
        </is>
      </c>
      <c r="E116" t="inlineStr">
        <is>
          <t>AVESTA</t>
        </is>
      </c>
      <c r="G116" t="n">
        <v>1.9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30736-2024</t>
        </is>
      </c>
      <c r="B117" s="1" t="n">
        <v>45496.64081018518</v>
      </c>
      <c r="C117" s="1" t="n">
        <v>45998</v>
      </c>
      <c r="D117" t="inlineStr">
        <is>
          <t>DALARNAS LÄN</t>
        </is>
      </c>
      <c r="E117" t="inlineStr">
        <is>
          <t>AVESTA</t>
        </is>
      </c>
      <c r="F117" t="inlineStr">
        <is>
          <t>Sveaskog</t>
        </is>
      </c>
      <c r="G117" t="n">
        <v>1.9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30739-2024</t>
        </is>
      </c>
      <c r="B118" s="1" t="n">
        <v>45496.64434027778</v>
      </c>
      <c r="C118" s="1" t="n">
        <v>45998</v>
      </c>
      <c r="D118" t="inlineStr">
        <is>
          <t>DALARNAS LÄN</t>
        </is>
      </c>
      <c r="E118" t="inlineStr">
        <is>
          <t>AVESTA</t>
        </is>
      </c>
      <c r="F118" t="inlineStr">
        <is>
          <t>Sveaskog</t>
        </is>
      </c>
      <c r="G118" t="n">
        <v>2.6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5186-2024</t>
        </is>
      </c>
      <c r="B119" s="1" t="n">
        <v>45330.58921296296</v>
      </c>
      <c r="C119" s="1" t="n">
        <v>45998</v>
      </c>
      <c r="D119" t="inlineStr">
        <is>
          <t>DALARNAS LÄN</t>
        </is>
      </c>
      <c r="E119" t="inlineStr">
        <is>
          <t>AVESTA</t>
        </is>
      </c>
      <c r="G119" t="n">
        <v>3.8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56571-2023</t>
        </is>
      </c>
      <c r="B120" s="1" t="n">
        <v>45243</v>
      </c>
      <c r="C120" s="1" t="n">
        <v>45998</v>
      </c>
      <c r="D120" t="inlineStr">
        <is>
          <t>DALARNAS LÄN</t>
        </is>
      </c>
      <c r="E120" t="inlineStr">
        <is>
          <t>AVESTA</t>
        </is>
      </c>
      <c r="G120" t="n">
        <v>6.1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62566-2023</t>
        </is>
      </c>
      <c r="B121" s="1" t="n">
        <v>45269</v>
      </c>
      <c r="C121" s="1" t="n">
        <v>45998</v>
      </c>
      <c r="D121" t="inlineStr">
        <is>
          <t>DALARNAS LÄN</t>
        </is>
      </c>
      <c r="E121" t="inlineStr">
        <is>
          <t>AVESTA</t>
        </is>
      </c>
      <c r="G121" t="n">
        <v>0.5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31389-2024</t>
        </is>
      </c>
      <c r="B122" s="1" t="n">
        <v>45505.46431712963</v>
      </c>
      <c r="C122" s="1" t="n">
        <v>45998</v>
      </c>
      <c r="D122" t="inlineStr">
        <is>
          <t>DALARNAS LÄN</t>
        </is>
      </c>
      <c r="E122" t="inlineStr">
        <is>
          <t>AVESTA</t>
        </is>
      </c>
      <c r="G122" t="n">
        <v>4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5689-2025</t>
        </is>
      </c>
      <c r="B123" s="1" t="n">
        <v>45694.36291666667</v>
      </c>
      <c r="C123" s="1" t="n">
        <v>45998</v>
      </c>
      <c r="D123" t="inlineStr">
        <is>
          <t>DALARNAS LÄN</t>
        </is>
      </c>
      <c r="E123" t="inlineStr">
        <is>
          <t>AVESTA</t>
        </is>
      </c>
      <c r="G123" t="n">
        <v>3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10068-2025</t>
        </is>
      </c>
      <c r="B124" s="1" t="n">
        <v>45719.54474537037</v>
      </c>
      <c r="C124" s="1" t="n">
        <v>45998</v>
      </c>
      <c r="D124" t="inlineStr">
        <is>
          <t>DALARNAS LÄN</t>
        </is>
      </c>
      <c r="E124" t="inlineStr">
        <is>
          <t>AVESTA</t>
        </is>
      </c>
      <c r="G124" t="n">
        <v>8.6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36961-2024</t>
        </is>
      </c>
      <c r="B125" s="1" t="n">
        <v>45538</v>
      </c>
      <c r="C125" s="1" t="n">
        <v>45998</v>
      </c>
      <c r="D125" t="inlineStr">
        <is>
          <t>DALARNAS LÄN</t>
        </is>
      </c>
      <c r="E125" t="inlineStr">
        <is>
          <t>AVESTA</t>
        </is>
      </c>
      <c r="G125" t="n">
        <v>1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 ht="15" customHeight="1">
      <c r="A126" t="inlineStr">
        <is>
          <t>A 62022-2023</t>
        </is>
      </c>
      <c r="B126" s="1" t="n">
        <v>45266.65486111111</v>
      </c>
      <c r="C126" s="1" t="n">
        <v>45998</v>
      </c>
      <c r="D126" t="inlineStr">
        <is>
          <t>DALARNAS LÄN</t>
        </is>
      </c>
      <c r="E126" t="inlineStr">
        <is>
          <t>AVESTA</t>
        </is>
      </c>
      <c r="G126" t="n">
        <v>1.7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  <row r="127" ht="15" customHeight="1">
      <c r="A127" t="inlineStr">
        <is>
          <t>A 8524-2023</t>
        </is>
      </c>
      <c r="B127" s="1" t="n">
        <v>44972</v>
      </c>
      <c r="C127" s="1" t="n">
        <v>45998</v>
      </c>
      <c r="D127" t="inlineStr">
        <is>
          <t>DALARNAS LÄN</t>
        </is>
      </c>
      <c r="E127" t="inlineStr">
        <is>
          <t>AVESTA</t>
        </is>
      </c>
      <c r="G127" t="n">
        <v>1</v>
      </c>
      <c r="H127" t="n">
        <v>0</v>
      </c>
      <c r="I127" t="n">
        <v>0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s="2" t="inlineStr"/>
    </row>
    <row r="128" ht="15" customHeight="1">
      <c r="A128" t="inlineStr">
        <is>
          <t>A 18197-2023</t>
        </is>
      </c>
      <c r="B128" s="1" t="n">
        <v>45040</v>
      </c>
      <c r="C128" s="1" t="n">
        <v>45998</v>
      </c>
      <c r="D128" t="inlineStr">
        <is>
          <t>DALARNAS LÄN</t>
        </is>
      </c>
      <c r="E128" t="inlineStr">
        <is>
          <t>AVESTA</t>
        </is>
      </c>
      <c r="G128" t="n">
        <v>1.8</v>
      </c>
      <c r="H128" t="n">
        <v>0</v>
      </c>
      <c r="I128" t="n">
        <v>0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s="2" t="inlineStr"/>
    </row>
    <row r="129" ht="15" customHeight="1">
      <c r="A129" t="inlineStr">
        <is>
          <t>A 6262-2023</t>
        </is>
      </c>
      <c r="B129" s="1" t="n">
        <v>44963</v>
      </c>
      <c r="C129" s="1" t="n">
        <v>45998</v>
      </c>
      <c r="D129" t="inlineStr">
        <is>
          <t>DALARNAS LÄN</t>
        </is>
      </c>
      <c r="E129" t="inlineStr">
        <is>
          <t>AVESTA</t>
        </is>
      </c>
      <c r="G129" t="n">
        <v>2</v>
      </c>
      <c r="H129" t="n">
        <v>0</v>
      </c>
      <c r="I129" t="n">
        <v>0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s="2" t="inlineStr"/>
    </row>
    <row r="130" ht="15" customHeight="1">
      <c r="A130" t="inlineStr">
        <is>
          <t>A 10570-2025</t>
        </is>
      </c>
      <c r="B130" s="1" t="n">
        <v>45721.53988425926</v>
      </c>
      <c r="C130" s="1" t="n">
        <v>45998</v>
      </c>
      <c r="D130" t="inlineStr">
        <is>
          <t>DALARNAS LÄN</t>
        </is>
      </c>
      <c r="E130" t="inlineStr">
        <is>
          <t>AVESTA</t>
        </is>
      </c>
      <c r="F130" t="inlineStr">
        <is>
          <t>Sveaskog</t>
        </is>
      </c>
      <c r="G130" t="n">
        <v>1.1</v>
      </c>
      <c r="H130" t="n">
        <v>0</v>
      </c>
      <c r="I130" t="n">
        <v>0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s="2" t="inlineStr"/>
    </row>
    <row r="131" ht="15" customHeight="1">
      <c r="A131" t="inlineStr">
        <is>
          <t>A 34186-2023</t>
        </is>
      </c>
      <c r="B131" s="1" t="n">
        <v>45138.3903125</v>
      </c>
      <c r="C131" s="1" t="n">
        <v>45998</v>
      </c>
      <c r="D131" t="inlineStr">
        <is>
          <t>DALARNAS LÄN</t>
        </is>
      </c>
      <c r="E131" t="inlineStr">
        <is>
          <t>AVESTA</t>
        </is>
      </c>
      <c r="G131" t="n">
        <v>8.5</v>
      </c>
      <c r="H131" t="n">
        <v>0</v>
      </c>
      <c r="I131" t="n">
        <v>0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s="2" t="inlineStr"/>
    </row>
    <row r="132" ht="15" customHeight="1">
      <c r="A132" t="inlineStr">
        <is>
          <t>A 42291-2024</t>
        </is>
      </c>
      <c r="B132" s="1" t="n">
        <v>45562.62109953703</v>
      </c>
      <c r="C132" s="1" t="n">
        <v>45998</v>
      </c>
      <c r="D132" t="inlineStr">
        <is>
          <t>DALARNAS LÄN</t>
        </is>
      </c>
      <c r="E132" t="inlineStr">
        <is>
          <t>AVESTA</t>
        </is>
      </c>
      <c r="F132" t="inlineStr">
        <is>
          <t>Sveaskog</t>
        </is>
      </c>
      <c r="G132" t="n">
        <v>7.1</v>
      </c>
      <c r="H132" t="n">
        <v>0</v>
      </c>
      <c r="I132" t="n">
        <v>0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s="2" t="inlineStr"/>
    </row>
    <row r="133" ht="15" customHeight="1">
      <c r="A133" t="inlineStr">
        <is>
          <t>A 50003-2024</t>
        </is>
      </c>
      <c r="B133" s="1" t="n">
        <v>45598</v>
      </c>
      <c r="C133" s="1" t="n">
        <v>45998</v>
      </c>
      <c r="D133" t="inlineStr">
        <is>
          <t>DALARNAS LÄN</t>
        </is>
      </c>
      <c r="E133" t="inlineStr">
        <is>
          <t>AVESTA</t>
        </is>
      </c>
      <c r="F133" t="inlineStr">
        <is>
          <t>Sveaskog</t>
        </is>
      </c>
      <c r="G133" t="n">
        <v>1.6</v>
      </c>
      <c r="H133" t="n">
        <v>0</v>
      </c>
      <c r="I133" t="n">
        <v>0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s="2" t="inlineStr"/>
    </row>
    <row r="134" ht="15" customHeight="1">
      <c r="A134" t="inlineStr">
        <is>
          <t>A 46674-2024</t>
        </is>
      </c>
      <c r="B134" s="1" t="n">
        <v>45583.38296296296</v>
      </c>
      <c r="C134" s="1" t="n">
        <v>45998</v>
      </c>
      <c r="D134" t="inlineStr">
        <is>
          <t>DALARNAS LÄN</t>
        </is>
      </c>
      <c r="E134" t="inlineStr">
        <is>
          <t>AVESTA</t>
        </is>
      </c>
      <c r="F134" t="inlineStr">
        <is>
          <t>Sveaskog</t>
        </is>
      </c>
      <c r="G134" t="n">
        <v>2.6</v>
      </c>
      <c r="H134" t="n">
        <v>0</v>
      </c>
      <c r="I134" t="n">
        <v>0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s="2" t="inlineStr"/>
    </row>
    <row r="135" ht="15" customHeight="1">
      <c r="A135" t="inlineStr">
        <is>
          <t>A 19797-2021</t>
        </is>
      </c>
      <c r="B135" s="1" t="n">
        <v>44309</v>
      </c>
      <c r="C135" s="1" t="n">
        <v>45998</v>
      </c>
      <c r="D135" t="inlineStr">
        <is>
          <t>DALARNAS LÄN</t>
        </is>
      </c>
      <c r="E135" t="inlineStr">
        <is>
          <t>AVESTA</t>
        </is>
      </c>
      <c r="F135" t="inlineStr">
        <is>
          <t>Bergvik skog väst AB</t>
        </is>
      </c>
      <c r="G135" t="n">
        <v>2.7</v>
      </c>
      <c r="H135" t="n">
        <v>0</v>
      </c>
      <c r="I135" t="n">
        <v>0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s="2" t="inlineStr"/>
    </row>
    <row r="136" ht="15" customHeight="1">
      <c r="A136" t="inlineStr">
        <is>
          <t>A 43508-2024</t>
        </is>
      </c>
      <c r="B136" s="1" t="n">
        <v>45569.31140046296</v>
      </c>
      <c r="C136" s="1" t="n">
        <v>45998</v>
      </c>
      <c r="D136" t="inlineStr">
        <is>
          <t>DALARNAS LÄN</t>
        </is>
      </c>
      <c r="E136" t="inlineStr">
        <is>
          <t>AVESTA</t>
        </is>
      </c>
      <c r="F136" t="inlineStr">
        <is>
          <t>Sveaskog</t>
        </is>
      </c>
      <c r="G136" t="n">
        <v>3.8</v>
      </c>
      <c r="H136" t="n">
        <v>0</v>
      </c>
      <c r="I136" t="n">
        <v>0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s="2" t="inlineStr"/>
    </row>
    <row r="137" ht="15" customHeight="1">
      <c r="A137" t="inlineStr">
        <is>
          <t>A 24177-2023</t>
        </is>
      </c>
      <c r="B137" s="1" t="n">
        <v>45079</v>
      </c>
      <c r="C137" s="1" t="n">
        <v>45998</v>
      </c>
      <c r="D137" t="inlineStr">
        <is>
          <t>DALARNAS LÄN</t>
        </is>
      </c>
      <c r="E137" t="inlineStr">
        <is>
          <t>AVESTA</t>
        </is>
      </c>
      <c r="G137" t="n">
        <v>2.6</v>
      </c>
      <c r="H137" t="n">
        <v>0</v>
      </c>
      <c r="I137" t="n">
        <v>0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s="2" t="inlineStr"/>
    </row>
    <row r="138" ht="15" customHeight="1">
      <c r="A138" t="inlineStr">
        <is>
          <t>A 26527-2022</t>
        </is>
      </c>
      <c r="B138" s="1" t="n">
        <v>44739</v>
      </c>
      <c r="C138" s="1" t="n">
        <v>45998</v>
      </c>
      <c r="D138" t="inlineStr">
        <is>
          <t>DALARNAS LÄN</t>
        </is>
      </c>
      <c r="E138" t="inlineStr">
        <is>
          <t>AVESTA</t>
        </is>
      </c>
      <c r="G138" t="n">
        <v>0.9</v>
      </c>
      <c r="H138" t="n">
        <v>0</v>
      </c>
      <c r="I138" t="n">
        <v>0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s="2" t="inlineStr"/>
    </row>
    <row r="139" ht="15" customHeight="1">
      <c r="A139" t="inlineStr">
        <is>
          <t>A 22816-2023</t>
        </is>
      </c>
      <c r="B139" s="1" t="n">
        <v>45072</v>
      </c>
      <c r="C139" s="1" t="n">
        <v>45998</v>
      </c>
      <c r="D139" t="inlineStr">
        <is>
          <t>DALARNAS LÄN</t>
        </is>
      </c>
      <c r="E139" t="inlineStr">
        <is>
          <t>AVESTA</t>
        </is>
      </c>
      <c r="G139" t="n">
        <v>4.2</v>
      </c>
      <c r="H139" t="n">
        <v>0</v>
      </c>
      <c r="I139" t="n">
        <v>0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s="2" t="inlineStr"/>
    </row>
    <row r="140" ht="15" customHeight="1">
      <c r="A140" t="inlineStr">
        <is>
          <t>A 3806-2022</t>
        </is>
      </c>
      <c r="B140" s="1" t="n">
        <v>44587.26690972222</v>
      </c>
      <c r="C140" s="1" t="n">
        <v>45998</v>
      </c>
      <c r="D140" t="inlineStr">
        <is>
          <t>DALARNAS LÄN</t>
        </is>
      </c>
      <c r="E140" t="inlineStr">
        <is>
          <t>AVESTA</t>
        </is>
      </c>
      <c r="G140" t="n">
        <v>3</v>
      </c>
      <c r="H140" t="n">
        <v>0</v>
      </c>
      <c r="I140" t="n">
        <v>0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s="2" t="inlineStr"/>
    </row>
    <row r="141" ht="15" customHeight="1">
      <c r="A141" t="inlineStr">
        <is>
          <t>A 32113-2024</t>
        </is>
      </c>
      <c r="B141" s="1" t="n">
        <v>45511.446875</v>
      </c>
      <c r="C141" s="1" t="n">
        <v>45998</v>
      </c>
      <c r="D141" t="inlineStr">
        <is>
          <t>DALARNAS LÄN</t>
        </is>
      </c>
      <c r="E141" t="inlineStr">
        <is>
          <t>AVESTA</t>
        </is>
      </c>
      <c r="G141" t="n">
        <v>1.2</v>
      </c>
      <c r="H141" t="n">
        <v>0</v>
      </c>
      <c r="I141" t="n">
        <v>0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s="2" t="inlineStr"/>
    </row>
    <row r="142" ht="15" customHeight="1">
      <c r="A142" t="inlineStr">
        <is>
          <t>A 13940-2023</t>
        </is>
      </c>
      <c r="B142" s="1" t="n">
        <v>45008.44704861111</v>
      </c>
      <c r="C142" s="1" t="n">
        <v>45998</v>
      </c>
      <c r="D142" t="inlineStr">
        <is>
          <t>DALARNAS LÄN</t>
        </is>
      </c>
      <c r="E142" t="inlineStr">
        <is>
          <t>AVESTA</t>
        </is>
      </c>
      <c r="G142" t="n">
        <v>0.9</v>
      </c>
      <c r="H142" t="n">
        <v>0</v>
      </c>
      <c r="I142" t="n">
        <v>0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s="2" t="inlineStr"/>
    </row>
    <row r="143" ht="15" customHeight="1">
      <c r="A143" t="inlineStr">
        <is>
          <t>A 863-2022</t>
        </is>
      </c>
      <c r="B143" s="1" t="n">
        <v>44571.43868055556</v>
      </c>
      <c r="C143" s="1" t="n">
        <v>45998</v>
      </c>
      <c r="D143" t="inlineStr">
        <is>
          <t>DALARNAS LÄN</t>
        </is>
      </c>
      <c r="E143" t="inlineStr">
        <is>
          <t>AVESTA</t>
        </is>
      </c>
      <c r="G143" t="n">
        <v>2.3</v>
      </c>
      <c r="H143" t="n">
        <v>0</v>
      </c>
      <c r="I143" t="n">
        <v>0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s="2" t="inlineStr"/>
    </row>
    <row r="144" ht="15" customHeight="1">
      <c r="A144" t="inlineStr">
        <is>
          <t>A 50863-2021</t>
        </is>
      </c>
      <c r="B144" s="1" t="n">
        <v>44460.55533564815</v>
      </c>
      <c r="C144" s="1" t="n">
        <v>45998</v>
      </c>
      <c r="D144" t="inlineStr">
        <is>
          <t>DALARNAS LÄN</t>
        </is>
      </c>
      <c r="E144" t="inlineStr">
        <is>
          <t>AVESTA</t>
        </is>
      </c>
      <c r="G144" t="n">
        <v>1.5</v>
      </c>
      <c r="H144" t="n">
        <v>0</v>
      </c>
      <c r="I144" t="n">
        <v>0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s="2" t="inlineStr"/>
    </row>
    <row r="145" ht="15" customHeight="1">
      <c r="A145" t="inlineStr">
        <is>
          <t>A 13867-2021</t>
        </is>
      </c>
      <c r="B145" s="1" t="n">
        <v>44277.39545138889</v>
      </c>
      <c r="C145" s="1" t="n">
        <v>45998</v>
      </c>
      <c r="D145" t="inlineStr">
        <is>
          <t>DALARNAS LÄN</t>
        </is>
      </c>
      <c r="E145" t="inlineStr">
        <is>
          <t>AVESTA</t>
        </is>
      </c>
      <c r="G145" t="n">
        <v>1.3</v>
      </c>
      <c r="H145" t="n">
        <v>0</v>
      </c>
      <c r="I145" t="n">
        <v>0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s="2" t="inlineStr"/>
    </row>
    <row r="146" ht="15" customHeight="1">
      <c r="A146" t="inlineStr">
        <is>
          <t>A 56721-2024</t>
        </is>
      </c>
      <c r="B146" s="1" t="n">
        <v>45628.32282407407</v>
      </c>
      <c r="C146" s="1" t="n">
        <v>45998</v>
      </c>
      <c r="D146" t="inlineStr">
        <is>
          <t>DALARNAS LÄN</t>
        </is>
      </c>
      <c r="E146" t="inlineStr">
        <is>
          <t>AVESTA</t>
        </is>
      </c>
      <c r="G146" t="n">
        <v>0.9</v>
      </c>
      <c r="H146" t="n">
        <v>0</v>
      </c>
      <c r="I146" t="n">
        <v>0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s="2" t="inlineStr"/>
    </row>
    <row r="147" ht="15" customHeight="1">
      <c r="A147" t="inlineStr">
        <is>
          <t>A 31116-2023</t>
        </is>
      </c>
      <c r="B147" s="1" t="n">
        <v>45103</v>
      </c>
      <c r="C147" s="1" t="n">
        <v>45998</v>
      </c>
      <c r="D147" t="inlineStr">
        <is>
          <t>DALARNAS LÄN</t>
        </is>
      </c>
      <c r="E147" t="inlineStr">
        <is>
          <t>AVESTA</t>
        </is>
      </c>
      <c r="F147" t="inlineStr">
        <is>
          <t>Bergvik skog väst AB</t>
        </is>
      </c>
      <c r="G147" t="n">
        <v>37.2</v>
      </c>
      <c r="H147" t="n">
        <v>0</v>
      </c>
      <c r="I147" t="n">
        <v>0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s="2" t="inlineStr"/>
    </row>
    <row r="148" ht="15" customHeight="1">
      <c r="A148" t="inlineStr">
        <is>
          <t>A 37698-2024</t>
        </is>
      </c>
      <c r="B148" s="1" t="n">
        <v>45541</v>
      </c>
      <c r="C148" s="1" t="n">
        <v>45998</v>
      </c>
      <c r="D148" t="inlineStr">
        <is>
          <t>DALARNAS LÄN</t>
        </is>
      </c>
      <c r="E148" t="inlineStr">
        <is>
          <t>AVESTA</t>
        </is>
      </c>
      <c r="G148" t="n">
        <v>3</v>
      </c>
      <c r="H148" t="n">
        <v>0</v>
      </c>
      <c r="I148" t="n">
        <v>0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s="2" t="inlineStr"/>
    </row>
    <row r="149" ht="15" customHeight="1">
      <c r="A149" t="inlineStr">
        <is>
          <t>A 49286-2023</t>
        </is>
      </c>
      <c r="B149" s="1" t="n">
        <v>45210.72341435185</v>
      </c>
      <c r="C149" s="1" t="n">
        <v>45998</v>
      </c>
      <c r="D149" t="inlineStr">
        <is>
          <t>DALARNAS LÄN</t>
        </is>
      </c>
      <c r="E149" t="inlineStr">
        <is>
          <t>AVESTA</t>
        </is>
      </c>
      <c r="G149" t="n">
        <v>2.1</v>
      </c>
      <c r="H149" t="n">
        <v>0</v>
      </c>
      <c r="I149" t="n">
        <v>0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s="2" t="inlineStr"/>
    </row>
    <row r="150" ht="15" customHeight="1">
      <c r="A150" t="inlineStr">
        <is>
          <t>A 34925-2024</t>
        </is>
      </c>
      <c r="B150" s="1" t="n">
        <v>45527.44376157408</v>
      </c>
      <c r="C150" s="1" t="n">
        <v>45998</v>
      </c>
      <c r="D150" t="inlineStr">
        <is>
          <t>DALARNAS LÄN</t>
        </is>
      </c>
      <c r="E150" t="inlineStr">
        <is>
          <t>AVESTA</t>
        </is>
      </c>
      <c r="G150" t="n">
        <v>1.1</v>
      </c>
      <c r="H150" t="n">
        <v>0</v>
      </c>
      <c r="I150" t="n">
        <v>0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s="2" t="inlineStr"/>
    </row>
    <row r="151" ht="15" customHeight="1">
      <c r="A151" t="inlineStr">
        <is>
          <t>A 31000-2024</t>
        </is>
      </c>
      <c r="B151" s="1" t="n">
        <v>45499.60596064815</v>
      </c>
      <c r="C151" s="1" t="n">
        <v>45998</v>
      </c>
      <c r="D151" t="inlineStr">
        <is>
          <t>DALARNAS LÄN</t>
        </is>
      </c>
      <c r="E151" t="inlineStr">
        <is>
          <t>AVESTA</t>
        </is>
      </c>
      <c r="F151" t="inlineStr">
        <is>
          <t>Sveaskog</t>
        </is>
      </c>
      <c r="G151" t="n">
        <v>2.2</v>
      </c>
      <c r="H151" t="n">
        <v>0</v>
      </c>
      <c r="I151" t="n">
        <v>0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s="2" t="inlineStr"/>
    </row>
    <row r="152" ht="15" customHeight="1">
      <c r="A152" t="inlineStr">
        <is>
          <t>A 18042-2023</t>
        </is>
      </c>
      <c r="B152" s="1" t="n">
        <v>45040.6084837963</v>
      </c>
      <c r="C152" s="1" t="n">
        <v>45998</v>
      </c>
      <c r="D152" t="inlineStr">
        <is>
          <t>DALARNAS LÄN</t>
        </is>
      </c>
      <c r="E152" t="inlineStr">
        <is>
          <t>AVESTA</t>
        </is>
      </c>
      <c r="G152" t="n">
        <v>2.5</v>
      </c>
      <c r="H152" t="n">
        <v>0</v>
      </c>
      <c r="I152" t="n">
        <v>0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s="2" t="inlineStr"/>
    </row>
    <row r="153" ht="15" customHeight="1">
      <c r="A153" t="inlineStr">
        <is>
          <t>A 20942-2025</t>
        </is>
      </c>
      <c r="B153" s="1" t="n">
        <v>45777.43148148148</v>
      </c>
      <c r="C153" s="1" t="n">
        <v>45998</v>
      </c>
      <c r="D153" t="inlineStr">
        <is>
          <t>DALARNAS LÄN</t>
        </is>
      </c>
      <c r="E153" t="inlineStr">
        <is>
          <t>AVESTA</t>
        </is>
      </c>
      <c r="F153" t="inlineStr">
        <is>
          <t>Sveaskog</t>
        </is>
      </c>
      <c r="G153" t="n">
        <v>0.4</v>
      </c>
      <c r="H153" t="n">
        <v>0</v>
      </c>
      <c r="I153" t="n">
        <v>0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s="2" t="inlineStr"/>
    </row>
    <row r="154" ht="15" customHeight="1">
      <c r="A154" t="inlineStr">
        <is>
          <t>A 41729-2024</t>
        </is>
      </c>
      <c r="B154" s="1" t="n">
        <v>45560.90378472222</v>
      </c>
      <c r="C154" s="1" t="n">
        <v>45998</v>
      </c>
      <c r="D154" t="inlineStr">
        <is>
          <t>DALARNAS LÄN</t>
        </is>
      </c>
      <c r="E154" t="inlineStr">
        <is>
          <t>AVESTA</t>
        </is>
      </c>
      <c r="G154" t="n">
        <v>1.4</v>
      </c>
      <c r="H154" t="n">
        <v>0</v>
      </c>
      <c r="I154" t="n">
        <v>0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s="2" t="inlineStr"/>
    </row>
    <row r="155" ht="15" customHeight="1">
      <c r="A155" t="inlineStr">
        <is>
          <t>A 42290-2024</t>
        </is>
      </c>
      <c r="B155" s="1" t="n">
        <v>45562.61946759259</v>
      </c>
      <c r="C155" s="1" t="n">
        <v>45998</v>
      </c>
      <c r="D155" t="inlineStr">
        <is>
          <t>DALARNAS LÄN</t>
        </is>
      </c>
      <c r="E155" t="inlineStr">
        <is>
          <t>AVESTA</t>
        </is>
      </c>
      <c r="F155" t="inlineStr">
        <is>
          <t>Sveaskog</t>
        </is>
      </c>
      <c r="G155" t="n">
        <v>0.7</v>
      </c>
      <c r="H155" t="n">
        <v>0</v>
      </c>
      <c r="I155" t="n">
        <v>0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s="2" t="inlineStr"/>
    </row>
    <row r="156" ht="15" customHeight="1">
      <c r="A156" t="inlineStr">
        <is>
          <t>A 44848-2023</t>
        </is>
      </c>
      <c r="B156" s="1" t="n">
        <v>45190</v>
      </c>
      <c r="C156" s="1" t="n">
        <v>45998</v>
      </c>
      <c r="D156" t="inlineStr">
        <is>
          <t>DALARNAS LÄN</t>
        </is>
      </c>
      <c r="E156" t="inlineStr">
        <is>
          <t>AVESTA</t>
        </is>
      </c>
      <c r="G156" t="n">
        <v>1.2</v>
      </c>
      <c r="H156" t="n">
        <v>0</v>
      </c>
      <c r="I156" t="n">
        <v>0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s="2" t="inlineStr"/>
    </row>
    <row r="157" ht="15" customHeight="1">
      <c r="A157" t="inlineStr">
        <is>
          <t>A 18679-2022</t>
        </is>
      </c>
      <c r="B157" s="1" t="n">
        <v>44687.56876157408</v>
      </c>
      <c r="C157" s="1" t="n">
        <v>45998</v>
      </c>
      <c r="D157" t="inlineStr">
        <is>
          <t>DALARNAS LÄN</t>
        </is>
      </c>
      <c r="E157" t="inlineStr">
        <is>
          <t>AVESTA</t>
        </is>
      </c>
      <c r="G157" t="n">
        <v>2.9</v>
      </c>
      <c r="H157" t="n">
        <v>0</v>
      </c>
      <c r="I157" t="n">
        <v>0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s="2" t="inlineStr"/>
    </row>
    <row r="158" ht="15" customHeight="1">
      <c r="A158" t="inlineStr">
        <is>
          <t>A 21769-2025</t>
        </is>
      </c>
      <c r="B158" s="1" t="n">
        <v>45783.65224537037</v>
      </c>
      <c r="C158" s="1" t="n">
        <v>45998</v>
      </c>
      <c r="D158" t="inlineStr">
        <is>
          <t>DALARNAS LÄN</t>
        </is>
      </c>
      <c r="E158" t="inlineStr">
        <is>
          <t>AVESTA</t>
        </is>
      </c>
      <c r="G158" t="n">
        <v>1.2</v>
      </c>
      <c r="H158" t="n">
        <v>0</v>
      </c>
      <c r="I158" t="n">
        <v>0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s="2" t="inlineStr"/>
    </row>
    <row r="159" ht="15" customHeight="1">
      <c r="A159" t="inlineStr">
        <is>
          <t>A 21412-2023</t>
        </is>
      </c>
      <c r="B159" s="1" t="n">
        <v>45058</v>
      </c>
      <c r="C159" s="1" t="n">
        <v>45998</v>
      </c>
      <c r="D159" t="inlineStr">
        <is>
          <t>DALARNAS LÄN</t>
        </is>
      </c>
      <c r="E159" t="inlineStr">
        <is>
          <t>AVESTA</t>
        </is>
      </c>
      <c r="F159" t="inlineStr">
        <is>
          <t>Bergvik skog väst AB</t>
        </is>
      </c>
      <c r="G159" t="n">
        <v>3.4</v>
      </c>
      <c r="H159" t="n">
        <v>0</v>
      </c>
      <c r="I159" t="n">
        <v>0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s="2" t="inlineStr"/>
    </row>
    <row r="160" ht="15" customHeight="1">
      <c r="A160" t="inlineStr">
        <is>
          <t>A 50001-2024</t>
        </is>
      </c>
      <c r="B160" s="1" t="n">
        <v>45598</v>
      </c>
      <c r="C160" s="1" t="n">
        <v>45998</v>
      </c>
      <c r="D160" t="inlineStr">
        <is>
          <t>DALARNAS LÄN</t>
        </is>
      </c>
      <c r="E160" t="inlineStr">
        <is>
          <t>AVESTA</t>
        </is>
      </c>
      <c r="F160" t="inlineStr">
        <is>
          <t>Sveaskog</t>
        </is>
      </c>
      <c r="G160" t="n">
        <v>4.5</v>
      </c>
      <c r="H160" t="n">
        <v>0</v>
      </c>
      <c r="I160" t="n">
        <v>0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s="2" t="inlineStr"/>
    </row>
    <row r="161" ht="15" customHeight="1">
      <c r="A161" t="inlineStr">
        <is>
          <t>A 1857-2025</t>
        </is>
      </c>
      <c r="B161" s="1" t="n">
        <v>45671.59969907408</v>
      </c>
      <c r="C161" s="1" t="n">
        <v>45998</v>
      </c>
      <c r="D161" t="inlineStr">
        <is>
          <t>DALARNAS LÄN</t>
        </is>
      </c>
      <c r="E161" t="inlineStr">
        <is>
          <t>AVESTA</t>
        </is>
      </c>
      <c r="G161" t="n">
        <v>3.9</v>
      </c>
      <c r="H161" t="n">
        <v>0</v>
      </c>
      <c r="I161" t="n">
        <v>0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s="2" t="inlineStr"/>
    </row>
    <row r="162" ht="15" customHeight="1">
      <c r="A162" t="inlineStr">
        <is>
          <t>A 1898-2025</t>
        </is>
      </c>
      <c r="B162" s="1" t="n">
        <v>45671.64038194445</v>
      </c>
      <c r="C162" s="1" t="n">
        <v>45998</v>
      </c>
      <c r="D162" t="inlineStr">
        <is>
          <t>DALARNAS LÄN</t>
        </is>
      </c>
      <c r="E162" t="inlineStr">
        <is>
          <t>AVESTA</t>
        </is>
      </c>
      <c r="G162" t="n">
        <v>0.6</v>
      </c>
      <c r="H162" t="n">
        <v>0</v>
      </c>
      <c r="I162" t="n">
        <v>0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s="2" t="inlineStr"/>
    </row>
    <row r="163" ht="15" customHeight="1">
      <c r="A163" t="inlineStr">
        <is>
          <t>A 61758-2024</t>
        </is>
      </c>
      <c r="B163" s="1" t="n">
        <v>45649.41373842592</v>
      </c>
      <c r="C163" s="1" t="n">
        <v>45998</v>
      </c>
      <c r="D163" t="inlineStr">
        <is>
          <t>DALARNAS LÄN</t>
        </is>
      </c>
      <c r="E163" t="inlineStr">
        <is>
          <t>AVESTA</t>
        </is>
      </c>
      <c r="G163" t="n">
        <v>7.1</v>
      </c>
      <c r="H163" t="n">
        <v>0</v>
      </c>
      <c r="I163" t="n">
        <v>0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s="2" t="inlineStr"/>
    </row>
    <row r="164" ht="15" customHeight="1">
      <c r="A164" t="inlineStr">
        <is>
          <t>A 3990-2025</t>
        </is>
      </c>
      <c r="B164" s="1" t="n">
        <v>45684.55741898148</v>
      </c>
      <c r="C164" s="1" t="n">
        <v>45998</v>
      </c>
      <c r="D164" t="inlineStr">
        <is>
          <t>DALARNAS LÄN</t>
        </is>
      </c>
      <c r="E164" t="inlineStr">
        <is>
          <t>AVESTA</t>
        </is>
      </c>
      <c r="G164" t="n">
        <v>0.8</v>
      </c>
      <c r="H164" t="n">
        <v>0</v>
      </c>
      <c r="I164" t="n">
        <v>0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s="2" t="inlineStr"/>
    </row>
    <row r="165" ht="15" customHeight="1">
      <c r="A165" t="inlineStr">
        <is>
          <t>A 9786-2025</t>
        </is>
      </c>
      <c r="B165" s="1" t="n">
        <v>45715</v>
      </c>
      <c r="C165" s="1" t="n">
        <v>45998</v>
      </c>
      <c r="D165" t="inlineStr">
        <is>
          <t>DALARNAS LÄN</t>
        </is>
      </c>
      <c r="E165" t="inlineStr">
        <is>
          <t>AVESTA</t>
        </is>
      </c>
      <c r="G165" t="n">
        <v>0.4</v>
      </c>
      <c r="H165" t="n">
        <v>0</v>
      </c>
      <c r="I165" t="n">
        <v>0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s="2" t="inlineStr"/>
    </row>
    <row r="166" ht="15" customHeight="1">
      <c r="A166" t="inlineStr">
        <is>
          <t>A 54137-2023</t>
        </is>
      </c>
      <c r="B166" s="1" t="n">
        <v>45232.43732638889</v>
      </c>
      <c r="C166" s="1" t="n">
        <v>45998</v>
      </c>
      <c r="D166" t="inlineStr">
        <is>
          <t>DALARNAS LÄN</t>
        </is>
      </c>
      <c r="E166" t="inlineStr">
        <is>
          <t>AVESTA</t>
        </is>
      </c>
      <c r="G166" t="n">
        <v>1.5</v>
      </c>
      <c r="H166" t="n">
        <v>0</v>
      </c>
      <c r="I166" t="n">
        <v>0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s="2" t="inlineStr"/>
    </row>
    <row r="167" ht="15" customHeight="1">
      <c r="A167" t="inlineStr">
        <is>
          <t>A 8759-2022</t>
        </is>
      </c>
      <c r="B167" s="1" t="n">
        <v>44613</v>
      </c>
      <c r="C167" s="1" t="n">
        <v>45998</v>
      </c>
      <c r="D167" t="inlineStr">
        <is>
          <t>DALARNAS LÄN</t>
        </is>
      </c>
      <c r="E167" t="inlineStr">
        <is>
          <t>AVESTA</t>
        </is>
      </c>
      <c r="G167" t="n">
        <v>12.9</v>
      </c>
      <c r="H167" t="n">
        <v>0</v>
      </c>
      <c r="I167" t="n">
        <v>0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s="2" t="inlineStr"/>
    </row>
    <row r="168" ht="15" customHeight="1">
      <c r="A168" t="inlineStr">
        <is>
          <t>A 41728-2024</t>
        </is>
      </c>
      <c r="B168" s="1" t="n">
        <v>45560.90010416666</v>
      </c>
      <c r="C168" s="1" t="n">
        <v>45998</v>
      </c>
      <c r="D168" t="inlineStr">
        <is>
          <t>DALARNAS LÄN</t>
        </is>
      </c>
      <c r="E168" t="inlineStr">
        <is>
          <t>AVESTA</t>
        </is>
      </c>
      <c r="G168" t="n">
        <v>2.3</v>
      </c>
      <c r="H168" t="n">
        <v>0</v>
      </c>
      <c r="I168" t="n">
        <v>0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s="2" t="inlineStr"/>
    </row>
    <row r="169" ht="15" customHeight="1">
      <c r="A169" t="inlineStr">
        <is>
          <t>A 21775-2025</t>
        </is>
      </c>
      <c r="B169" s="1" t="n">
        <v>45783.65847222223</v>
      </c>
      <c r="C169" s="1" t="n">
        <v>45998</v>
      </c>
      <c r="D169" t="inlineStr">
        <is>
          <t>DALARNAS LÄN</t>
        </is>
      </c>
      <c r="E169" t="inlineStr">
        <is>
          <t>AVESTA</t>
        </is>
      </c>
      <c r="G169" t="n">
        <v>0.7</v>
      </c>
      <c r="H169" t="n">
        <v>0</v>
      </c>
      <c r="I169" t="n">
        <v>0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s="2" t="inlineStr"/>
    </row>
    <row r="170" ht="15" customHeight="1">
      <c r="A170" t="inlineStr">
        <is>
          <t>A 46672-2024</t>
        </is>
      </c>
      <c r="B170" s="1" t="n">
        <v>45583</v>
      </c>
      <c r="C170" s="1" t="n">
        <v>45998</v>
      </c>
      <c r="D170" t="inlineStr">
        <is>
          <t>DALARNAS LÄN</t>
        </is>
      </c>
      <c r="E170" t="inlineStr">
        <is>
          <t>AVESTA</t>
        </is>
      </c>
      <c r="F170" t="inlineStr">
        <is>
          <t>Sveaskog</t>
        </is>
      </c>
      <c r="G170" t="n">
        <v>3</v>
      </c>
      <c r="H170" t="n">
        <v>0</v>
      </c>
      <c r="I170" t="n">
        <v>0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s="2" t="inlineStr"/>
    </row>
    <row r="171" ht="15" customHeight="1">
      <c r="A171" t="inlineStr">
        <is>
          <t>A 10779-2024</t>
        </is>
      </c>
      <c r="B171" s="1" t="n">
        <v>45369</v>
      </c>
      <c r="C171" s="1" t="n">
        <v>45998</v>
      </c>
      <c r="D171" t="inlineStr">
        <is>
          <t>DALARNAS LÄN</t>
        </is>
      </c>
      <c r="E171" t="inlineStr">
        <is>
          <t>AVESTA</t>
        </is>
      </c>
      <c r="G171" t="n">
        <v>6.7</v>
      </c>
      <c r="H171" t="n">
        <v>0</v>
      </c>
      <c r="I171" t="n">
        <v>0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s="2" t="inlineStr"/>
    </row>
    <row r="172" ht="15" customHeight="1">
      <c r="A172" t="inlineStr">
        <is>
          <t>A 48623-2024</t>
        </is>
      </c>
      <c r="B172" s="1" t="n">
        <v>45593.46292824074</v>
      </c>
      <c r="C172" s="1" t="n">
        <v>45998</v>
      </c>
      <c r="D172" t="inlineStr">
        <is>
          <t>DALARNAS LÄN</t>
        </is>
      </c>
      <c r="E172" t="inlineStr">
        <is>
          <t>AVESTA</t>
        </is>
      </c>
      <c r="G172" t="n">
        <v>0.7</v>
      </c>
      <c r="H172" t="n">
        <v>0</v>
      </c>
      <c r="I172" t="n">
        <v>0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s="2" t="inlineStr"/>
    </row>
    <row r="173" ht="15" customHeight="1">
      <c r="A173" t="inlineStr">
        <is>
          <t>A 20705-2023</t>
        </is>
      </c>
      <c r="B173" s="1" t="n">
        <v>45058</v>
      </c>
      <c r="C173" s="1" t="n">
        <v>45998</v>
      </c>
      <c r="D173" t="inlineStr">
        <is>
          <t>DALARNAS LÄN</t>
        </is>
      </c>
      <c r="E173" t="inlineStr">
        <is>
          <t>AVESTA</t>
        </is>
      </c>
      <c r="G173" t="n">
        <v>17.6</v>
      </c>
      <c r="H173" t="n">
        <v>0</v>
      </c>
      <c r="I173" t="n">
        <v>0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s="2" t="inlineStr"/>
    </row>
    <row r="174" ht="15" customHeight="1">
      <c r="A174" t="inlineStr">
        <is>
          <t>A 3194-2024</t>
        </is>
      </c>
      <c r="B174" s="1" t="n">
        <v>45316.67782407408</v>
      </c>
      <c r="C174" s="1" t="n">
        <v>45998</v>
      </c>
      <c r="D174" t="inlineStr">
        <is>
          <t>DALARNAS LÄN</t>
        </is>
      </c>
      <c r="E174" t="inlineStr">
        <is>
          <t>AVESTA</t>
        </is>
      </c>
      <c r="G174" t="n">
        <v>1.9</v>
      </c>
      <c r="H174" t="n">
        <v>0</v>
      </c>
      <c r="I174" t="n">
        <v>0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s="2" t="inlineStr"/>
    </row>
    <row r="175" ht="15" customHeight="1">
      <c r="A175" t="inlineStr">
        <is>
          <t>A 13009-2025</t>
        </is>
      </c>
      <c r="B175" s="1" t="n">
        <v>45734.52072916667</v>
      </c>
      <c r="C175" s="1" t="n">
        <v>45998</v>
      </c>
      <c r="D175" t="inlineStr">
        <is>
          <t>DALARNAS LÄN</t>
        </is>
      </c>
      <c r="E175" t="inlineStr">
        <is>
          <t>AVESTA</t>
        </is>
      </c>
      <c r="G175" t="n">
        <v>1.2</v>
      </c>
      <c r="H175" t="n">
        <v>0</v>
      </c>
      <c r="I175" t="n">
        <v>0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s="2" t="inlineStr"/>
    </row>
    <row r="176" ht="15" customHeight="1">
      <c r="A176" t="inlineStr">
        <is>
          <t>A 46679-2024</t>
        </is>
      </c>
      <c r="B176" s="1" t="n">
        <v>45583</v>
      </c>
      <c r="C176" s="1" t="n">
        <v>45998</v>
      </c>
      <c r="D176" t="inlineStr">
        <is>
          <t>DALARNAS LÄN</t>
        </is>
      </c>
      <c r="E176" t="inlineStr">
        <is>
          <t>AVESTA</t>
        </is>
      </c>
      <c r="F176" t="inlineStr">
        <is>
          <t>Sveaskog</t>
        </is>
      </c>
      <c r="G176" t="n">
        <v>1.3</v>
      </c>
      <c r="H176" t="n">
        <v>0</v>
      </c>
      <c r="I176" t="n">
        <v>0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s="2" t="inlineStr"/>
    </row>
    <row r="177" ht="15" customHeight="1">
      <c r="A177" t="inlineStr">
        <is>
          <t>A 8785-2022</t>
        </is>
      </c>
      <c r="B177" s="1" t="n">
        <v>44614</v>
      </c>
      <c r="C177" s="1" t="n">
        <v>45998</v>
      </c>
      <c r="D177" t="inlineStr">
        <is>
          <t>DALARNAS LÄN</t>
        </is>
      </c>
      <c r="E177" t="inlineStr">
        <is>
          <t>AVESTA</t>
        </is>
      </c>
      <c r="G177" t="n">
        <v>2.3</v>
      </c>
      <c r="H177" t="n">
        <v>0</v>
      </c>
      <c r="I177" t="n">
        <v>0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s="2" t="inlineStr"/>
    </row>
    <row r="178" ht="15" customHeight="1">
      <c r="A178" t="inlineStr">
        <is>
          <t>A 29468-2022</t>
        </is>
      </c>
      <c r="B178" s="1" t="n">
        <v>44753.56021990741</v>
      </c>
      <c r="C178" s="1" t="n">
        <v>45998</v>
      </c>
      <c r="D178" t="inlineStr">
        <is>
          <t>DALARNAS LÄN</t>
        </is>
      </c>
      <c r="E178" t="inlineStr">
        <is>
          <t>AVESTA</t>
        </is>
      </c>
      <c r="G178" t="n">
        <v>1</v>
      </c>
      <c r="H178" t="n">
        <v>0</v>
      </c>
      <c r="I178" t="n">
        <v>0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s="2" t="inlineStr"/>
    </row>
    <row r="179" ht="15" customHeight="1">
      <c r="A179" t="inlineStr">
        <is>
          <t>A 53820-2023</t>
        </is>
      </c>
      <c r="B179" s="1" t="n">
        <v>45231.406875</v>
      </c>
      <c r="C179" s="1" t="n">
        <v>45998</v>
      </c>
      <c r="D179" t="inlineStr">
        <is>
          <t>DALARNAS LÄN</t>
        </is>
      </c>
      <c r="E179" t="inlineStr">
        <is>
          <t>AVESTA</t>
        </is>
      </c>
      <c r="G179" t="n">
        <v>1.2</v>
      </c>
      <c r="H179" t="n">
        <v>0</v>
      </c>
      <c r="I179" t="n">
        <v>0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s="2" t="inlineStr"/>
    </row>
    <row r="180" ht="15" customHeight="1">
      <c r="A180" t="inlineStr">
        <is>
          <t>A 63316-2023</t>
        </is>
      </c>
      <c r="B180" s="1" t="n">
        <v>45273</v>
      </c>
      <c r="C180" s="1" t="n">
        <v>45998</v>
      </c>
      <c r="D180" t="inlineStr">
        <is>
          <t>DALARNAS LÄN</t>
        </is>
      </c>
      <c r="E180" t="inlineStr">
        <is>
          <t>AVESTA</t>
        </is>
      </c>
      <c r="G180" t="n">
        <v>4</v>
      </c>
      <c r="H180" t="n">
        <v>0</v>
      </c>
      <c r="I180" t="n">
        <v>0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s="2" t="inlineStr"/>
    </row>
    <row r="181" ht="15" customHeight="1">
      <c r="A181" t="inlineStr">
        <is>
          <t>A 63434-2023</t>
        </is>
      </c>
      <c r="B181" s="1" t="n">
        <v>45274</v>
      </c>
      <c r="C181" s="1" t="n">
        <v>45998</v>
      </c>
      <c r="D181" t="inlineStr">
        <is>
          <t>DALARNAS LÄN</t>
        </is>
      </c>
      <c r="E181" t="inlineStr">
        <is>
          <t>AVESTA</t>
        </is>
      </c>
      <c r="G181" t="n">
        <v>2.7</v>
      </c>
      <c r="H181" t="n">
        <v>0</v>
      </c>
      <c r="I181" t="n">
        <v>0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s="2" t="inlineStr"/>
    </row>
    <row r="182" ht="15" customHeight="1">
      <c r="A182" t="inlineStr">
        <is>
          <t>A 15923-2024</t>
        </is>
      </c>
      <c r="B182" s="1" t="n">
        <v>45405.45550925926</v>
      </c>
      <c r="C182" s="1" t="n">
        <v>45998</v>
      </c>
      <c r="D182" t="inlineStr">
        <is>
          <t>DALARNAS LÄN</t>
        </is>
      </c>
      <c r="E182" t="inlineStr">
        <is>
          <t>AVESTA</t>
        </is>
      </c>
      <c r="G182" t="n">
        <v>2.3</v>
      </c>
      <c r="H182" t="n">
        <v>0</v>
      </c>
      <c r="I182" t="n">
        <v>0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s="2" t="inlineStr"/>
    </row>
    <row r="183" ht="15" customHeight="1">
      <c r="A183" t="inlineStr">
        <is>
          <t>A 13983-2023</t>
        </is>
      </c>
      <c r="B183" s="1" t="n">
        <v>45008.50270833333</v>
      </c>
      <c r="C183" s="1" t="n">
        <v>45998</v>
      </c>
      <c r="D183" t="inlineStr">
        <is>
          <t>DALARNAS LÄN</t>
        </is>
      </c>
      <c r="E183" t="inlineStr">
        <is>
          <t>AVESTA</t>
        </is>
      </c>
      <c r="G183" t="n">
        <v>4.2</v>
      </c>
      <c r="H183" t="n">
        <v>0</v>
      </c>
      <c r="I183" t="n">
        <v>0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s="2" t="inlineStr"/>
    </row>
    <row r="184" ht="15" customHeight="1">
      <c r="A184" t="inlineStr">
        <is>
          <t>A 14027-2023</t>
        </is>
      </c>
      <c r="B184" s="1" t="n">
        <v>45007</v>
      </c>
      <c r="C184" s="1" t="n">
        <v>45998</v>
      </c>
      <c r="D184" t="inlineStr">
        <is>
          <t>DALARNAS LÄN</t>
        </is>
      </c>
      <c r="E184" t="inlineStr">
        <is>
          <t>AVESTA</t>
        </is>
      </c>
      <c r="G184" t="n">
        <v>0.8</v>
      </c>
      <c r="H184" t="n">
        <v>0</v>
      </c>
      <c r="I184" t="n">
        <v>0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s="2" t="inlineStr"/>
    </row>
    <row r="185" ht="15" customHeight="1">
      <c r="A185" t="inlineStr">
        <is>
          <t>A 58812-2023</t>
        </is>
      </c>
      <c r="B185" s="1" t="n">
        <v>45252.37432870371</v>
      </c>
      <c r="C185" s="1" t="n">
        <v>45998</v>
      </c>
      <c r="D185" t="inlineStr">
        <is>
          <t>DALARNAS LÄN</t>
        </is>
      </c>
      <c r="E185" t="inlineStr">
        <is>
          <t>AVESTA</t>
        </is>
      </c>
      <c r="G185" t="n">
        <v>1</v>
      </c>
      <c r="H185" t="n">
        <v>0</v>
      </c>
      <c r="I185" t="n">
        <v>0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s="2" t="inlineStr"/>
    </row>
    <row r="186" ht="15" customHeight="1">
      <c r="A186" t="inlineStr">
        <is>
          <t>A 38441-2023</t>
        </is>
      </c>
      <c r="B186" s="1" t="n">
        <v>45162.39258101852</v>
      </c>
      <c r="C186" s="1" t="n">
        <v>45998</v>
      </c>
      <c r="D186" t="inlineStr">
        <is>
          <t>DALARNAS LÄN</t>
        </is>
      </c>
      <c r="E186" t="inlineStr">
        <is>
          <t>AVESTA</t>
        </is>
      </c>
      <c r="G186" t="n">
        <v>1.5</v>
      </c>
      <c r="H186" t="n">
        <v>0</v>
      </c>
      <c r="I186" t="n">
        <v>0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s="2" t="inlineStr"/>
    </row>
    <row r="187" ht="15" customHeight="1">
      <c r="A187" t="inlineStr">
        <is>
          <t>A 8523-2023</t>
        </is>
      </c>
      <c r="B187" s="1" t="n">
        <v>44977</v>
      </c>
      <c r="C187" s="1" t="n">
        <v>45998</v>
      </c>
      <c r="D187" t="inlineStr">
        <is>
          <t>DALARNAS LÄN</t>
        </is>
      </c>
      <c r="E187" t="inlineStr">
        <is>
          <t>AVESTA</t>
        </is>
      </c>
      <c r="G187" t="n">
        <v>1.1</v>
      </c>
      <c r="H187" t="n">
        <v>0</v>
      </c>
      <c r="I187" t="n">
        <v>0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s="2" t="inlineStr"/>
    </row>
    <row r="188" ht="15" customHeight="1">
      <c r="A188" t="inlineStr">
        <is>
          <t>A 14021-2023</t>
        </is>
      </c>
      <c r="B188" s="1" t="n">
        <v>45007</v>
      </c>
      <c r="C188" s="1" t="n">
        <v>45998</v>
      </c>
      <c r="D188" t="inlineStr">
        <is>
          <t>DALARNAS LÄN</t>
        </is>
      </c>
      <c r="E188" t="inlineStr">
        <is>
          <t>AVESTA</t>
        </is>
      </c>
      <c r="G188" t="n">
        <v>3</v>
      </c>
      <c r="H188" t="n">
        <v>0</v>
      </c>
      <c r="I188" t="n">
        <v>0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s="2" t="inlineStr"/>
    </row>
    <row r="189" ht="15" customHeight="1">
      <c r="A189" t="inlineStr">
        <is>
          <t>A 37534-2022</t>
        </is>
      </c>
      <c r="B189" s="1" t="n">
        <v>44809.62644675926</v>
      </c>
      <c r="C189" s="1" t="n">
        <v>45998</v>
      </c>
      <c r="D189" t="inlineStr">
        <is>
          <t>DALARNAS LÄN</t>
        </is>
      </c>
      <c r="E189" t="inlineStr">
        <is>
          <t>AVESTA</t>
        </is>
      </c>
      <c r="G189" t="n">
        <v>2.1</v>
      </c>
      <c r="H189" t="n">
        <v>0</v>
      </c>
      <c r="I189" t="n">
        <v>0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s="2" t="inlineStr"/>
    </row>
    <row r="190" ht="15" customHeight="1">
      <c r="A190" t="inlineStr">
        <is>
          <t>A 63519-2021</t>
        </is>
      </c>
      <c r="B190" s="1" t="n">
        <v>44508</v>
      </c>
      <c r="C190" s="1" t="n">
        <v>45998</v>
      </c>
      <c r="D190" t="inlineStr">
        <is>
          <t>DALARNAS LÄN</t>
        </is>
      </c>
      <c r="E190" t="inlineStr">
        <is>
          <t>AVESTA</t>
        </is>
      </c>
      <c r="G190" t="n">
        <v>1.4</v>
      </c>
      <c r="H190" t="n">
        <v>0</v>
      </c>
      <c r="I190" t="n">
        <v>0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s="2" t="inlineStr"/>
    </row>
    <row r="191" ht="15" customHeight="1">
      <c r="A191" t="inlineStr">
        <is>
          <t>A 46315-2023</t>
        </is>
      </c>
      <c r="B191" s="1" t="n">
        <v>45191</v>
      </c>
      <c r="C191" s="1" t="n">
        <v>45998</v>
      </c>
      <c r="D191" t="inlineStr">
        <is>
          <t>DALARNAS LÄN</t>
        </is>
      </c>
      <c r="E191" t="inlineStr">
        <is>
          <t>AVESTA</t>
        </is>
      </c>
      <c r="F191" t="inlineStr">
        <is>
          <t>Bergvik skog väst AB</t>
        </is>
      </c>
      <c r="G191" t="n">
        <v>12.2</v>
      </c>
      <c r="H191" t="n">
        <v>0</v>
      </c>
      <c r="I191" t="n">
        <v>0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s="2" t="inlineStr"/>
    </row>
    <row r="192" ht="15" customHeight="1">
      <c r="A192" t="inlineStr">
        <is>
          <t>A 31430-2024</t>
        </is>
      </c>
      <c r="B192" s="1" t="n">
        <v>45505.66716435185</v>
      </c>
      <c r="C192" s="1" t="n">
        <v>45998</v>
      </c>
      <c r="D192" t="inlineStr">
        <is>
          <t>DALARNAS LÄN</t>
        </is>
      </c>
      <c r="E192" t="inlineStr">
        <is>
          <t>AVESTA</t>
        </is>
      </c>
      <c r="G192" t="n">
        <v>3</v>
      </c>
      <c r="H192" t="n">
        <v>0</v>
      </c>
      <c r="I192" t="n">
        <v>0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s="2" t="inlineStr"/>
    </row>
    <row r="193" ht="15" customHeight="1">
      <c r="A193" t="inlineStr">
        <is>
          <t>A 31126-2021</t>
        </is>
      </c>
      <c r="B193" s="1" t="n">
        <v>44368</v>
      </c>
      <c r="C193" s="1" t="n">
        <v>45998</v>
      </c>
      <c r="D193" t="inlineStr">
        <is>
          <t>DALARNAS LÄN</t>
        </is>
      </c>
      <c r="E193" t="inlineStr">
        <is>
          <t>AVESTA</t>
        </is>
      </c>
      <c r="G193" t="n">
        <v>6.3</v>
      </c>
      <c r="H193" t="n">
        <v>0</v>
      </c>
      <c r="I193" t="n">
        <v>0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s="2" t="inlineStr"/>
    </row>
    <row r="194" ht="15" customHeight="1">
      <c r="A194" t="inlineStr">
        <is>
          <t>A 19359-2025</t>
        </is>
      </c>
      <c r="B194" s="1" t="n">
        <v>45769.62832175926</v>
      </c>
      <c r="C194" s="1" t="n">
        <v>45998</v>
      </c>
      <c r="D194" t="inlineStr">
        <is>
          <t>DALARNAS LÄN</t>
        </is>
      </c>
      <c r="E194" t="inlineStr">
        <is>
          <t>AVESTA</t>
        </is>
      </c>
      <c r="G194" t="n">
        <v>1.8</v>
      </c>
      <c r="H194" t="n">
        <v>0</v>
      </c>
      <c r="I194" t="n">
        <v>0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s="2" t="inlineStr"/>
    </row>
    <row r="195" ht="15" customHeight="1">
      <c r="A195" t="inlineStr">
        <is>
          <t>A 3690-2024</t>
        </is>
      </c>
      <c r="B195" s="1" t="n">
        <v>45321.41290509259</v>
      </c>
      <c r="C195" s="1" t="n">
        <v>45998</v>
      </c>
      <c r="D195" t="inlineStr">
        <is>
          <t>DALARNAS LÄN</t>
        </is>
      </c>
      <c r="E195" t="inlineStr">
        <is>
          <t>AVESTA</t>
        </is>
      </c>
      <c r="G195" t="n">
        <v>4.9</v>
      </c>
      <c r="H195" t="n">
        <v>0</v>
      </c>
      <c r="I195" t="n">
        <v>0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s="2" t="inlineStr"/>
    </row>
    <row r="196" ht="15" customHeight="1">
      <c r="A196" t="inlineStr">
        <is>
          <t>A 7493-2023</t>
        </is>
      </c>
      <c r="B196" s="1" t="n">
        <v>44971.70265046296</v>
      </c>
      <c r="C196" s="1" t="n">
        <v>45998</v>
      </c>
      <c r="D196" t="inlineStr">
        <is>
          <t>DALARNAS LÄN</t>
        </is>
      </c>
      <c r="E196" t="inlineStr">
        <is>
          <t>AVESTA</t>
        </is>
      </c>
      <c r="G196" t="n">
        <v>1.2</v>
      </c>
      <c r="H196" t="n">
        <v>0</v>
      </c>
      <c r="I196" t="n">
        <v>0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s="2" t="inlineStr"/>
    </row>
    <row r="197" ht="15" customHeight="1">
      <c r="A197" t="inlineStr">
        <is>
          <t>A 32768-2023</t>
        </is>
      </c>
      <c r="B197" s="1" t="n">
        <v>45123</v>
      </c>
      <c r="C197" s="1" t="n">
        <v>45998</v>
      </c>
      <c r="D197" t="inlineStr">
        <is>
          <t>DALARNAS LÄN</t>
        </is>
      </c>
      <c r="E197" t="inlineStr">
        <is>
          <t>AVESTA</t>
        </is>
      </c>
      <c r="G197" t="n">
        <v>3.3</v>
      </c>
      <c r="H197" t="n">
        <v>0</v>
      </c>
      <c r="I197" t="n">
        <v>0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s="2" t="inlineStr"/>
    </row>
    <row r="198" ht="15" customHeight="1">
      <c r="A198" t="inlineStr">
        <is>
          <t>A 32771-2023</t>
        </is>
      </c>
      <c r="B198" s="1" t="n">
        <v>45123</v>
      </c>
      <c r="C198" s="1" t="n">
        <v>45998</v>
      </c>
      <c r="D198" t="inlineStr">
        <is>
          <t>DALARNAS LÄN</t>
        </is>
      </c>
      <c r="E198" t="inlineStr">
        <is>
          <t>AVESTA</t>
        </is>
      </c>
      <c r="G198" t="n">
        <v>4.3</v>
      </c>
      <c r="H198" t="n">
        <v>0</v>
      </c>
      <c r="I198" t="n">
        <v>0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s="2" t="inlineStr"/>
    </row>
    <row r="199" ht="15" customHeight="1">
      <c r="A199" t="inlineStr">
        <is>
          <t>A 61507-2024</t>
        </is>
      </c>
      <c r="B199" s="1" t="n">
        <v>45646.56313657408</v>
      </c>
      <c r="C199" s="1" t="n">
        <v>45998</v>
      </c>
      <c r="D199" t="inlineStr">
        <is>
          <t>DALARNAS LÄN</t>
        </is>
      </c>
      <c r="E199" t="inlineStr">
        <is>
          <t>AVESTA</t>
        </is>
      </c>
      <c r="G199" t="n">
        <v>1.3</v>
      </c>
      <c r="H199" t="n">
        <v>0</v>
      </c>
      <c r="I199" t="n">
        <v>0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s="2" t="inlineStr"/>
    </row>
    <row r="200" ht="15" customHeight="1">
      <c r="A200" t="inlineStr">
        <is>
          <t>A 17260-2025</t>
        </is>
      </c>
      <c r="B200" s="1" t="n">
        <v>45756</v>
      </c>
      <c r="C200" s="1" t="n">
        <v>45998</v>
      </c>
      <c r="D200" t="inlineStr">
        <is>
          <t>DALARNAS LÄN</t>
        </is>
      </c>
      <c r="E200" t="inlineStr">
        <is>
          <t>AVESTA</t>
        </is>
      </c>
      <c r="G200" t="n">
        <v>10.1</v>
      </c>
      <c r="H200" t="n">
        <v>0</v>
      </c>
      <c r="I200" t="n">
        <v>0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s="2" t="inlineStr"/>
    </row>
    <row r="201" ht="15" customHeight="1">
      <c r="A201" t="inlineStr">
        <is>
          <t>A 21322-2023</t>
        </is>
      </c>
      <c r="B201" s="1" t="n">
        <v>45058</v>
      </c>
      <c r="C201" s="1" t="n">
        <v>45998</v>
      </c>
      <c r="D201" t="inlineStr">
        <is>
          <t>DALARNAS LÄN</t>
        </is>
      </c>
      <c r="E201" t="inlineStr">
        <is>
          <t>AVESTA</t>
        </is>
      </c>
      <c r="F201" t="inlineStr">
        <is>
          <t>Bergvik skog väst AB</t>
        </is>
      </c>
      <c r="G201" t="n">
        <v>2.5</v>
      </c>
      <c r="H201" t="n">
        <v>0</v>
      </c>
      <c r="I201" t="n">
        <v>0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s="2" t="inlineStr"/>
    </row>
    <row r="202" ht="15" customHeight="1">
      <c r="A202" t="inlineStr">
        <is>
          <t>A 44853-2023</t>
        </is>
      </c>
      <c r="B202" s="1" t="n">
        <v>45190</v>
      </c>
      <c r="C202" s="1" t="n">
        <v>45998</v>
      </c>
      <c r="D202" t="inlineStr">
        <is>
          <t>DALARNAS LÄN</t>
        </is>
      </c>
      <c r="E202" t="inlineStr">
        <is>
          <t>AVESTA</t>
        </is>
      </c>
      <c r="G202" t="n">
        <v>1.8</v>
      </c>
      <c r="H202" t="n">
        <v>0</v>
      </c>
      <c r="I202" t="n">
        <v>0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s="2" t="inlineStr"/>
    </row>
    <row r="203" ht="15" customHeight="1">
      <c r="A203" t="inlineStr">
        <is>
          <t>A 12242-2025</t>
        </is>
      </c>
      <c r="B203" s="1" t="n">
        <v>45729.58903935185</v>
      </c>
      <c r="C203" s="1" t="n">
        <v>45998</v>
      </c>
      <c r="D203" t="inlineStr">
        <is>
          <t>DALARNAS LÄN</t>
        </is>
      </c>
      <c r="E203" t="inlineStr">
        <is>
          <t>AVESTA</t>
        </is>
      </c>
      <c r="G203" t="n">
        <v>2.8</v>
      </c>
      <c r="H203" t="n">
        <v>0</v>
      </c>
      <c r="I203" t="n">
        <v>0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s="2" t="inlineStr"/>
    </row>
    <row r="204" ht="15" customHeight="1">
      <c r="A204" t="inlineStr">
        <is>
          <t>A 12246-2025</t>
        </is>
      </c>
      <c r="B204" s="1" t="n">
        <v>45729</v>
      </c>
      <c r="C204" s="1" t="n">
        <v>45998</v>
      </c>
      <c r="D204" t="inlineStr">
        <is>
          <t>DALARNAS LÄN</t>
        </is>
      </c>
      <c r="E204" t="inlineStr">
        <is>
          <t>AVESTA</t>
        </is>
      </c>
      <c r="G204" t="n">
        <v>3.8</v>
      </c>
      <c r="H204" t="n">
        <v>0</v>
      </c>
      <c r="I204" t="n">
        <v>0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s="2" t="inlineStr"/>
    </row>
    <row r="205" ht="15" customHeight="1">
      <c r="A205" t="inlineStr">
        <is>
          <t>A 37691-2024</t>
        </is>
      </c>
      <c r="B205" s="1" t="n">
        <v>45541</v>
      </c>
      <c r="C205" s="1" t="n">
        <v>45998</v>
      </c>
      <c r="D205" t="inlineStr">
        <is>
          <t>DALARNAS LÄN</t>
        </is>
      </c>
      <c r="E205" t="inlineStr">
        <is>
          <t>AVESTA</t>
        </is>
      </c>
      <c r="G205" t="n">
        <v>0.8</v>
      </c>
      <c r="H205" t="n">
        <v>0</v>
      </c>
      <c r="I205" t="n">
        <v>0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s="2" t="inlineStr"/>
    </row>
    <row r="206" ht="15" customHeight="1">
      <c r="A206" t="inlineStr">
        <is>
          <t>A 62040-2023</t>
        </is>
      </c>
      <c r="B206" s="1" t="n">
        <v>45266.67453703703</v>
      </c>
      <c r="C206" s="1" t="n">
        <v>45998</v>
      </c>
      <c r="D206" t="inlineStr">
        <is>
          <t>DALARNAS LÄN</t>
        </is>
      </c>
      <c r="E206" t="inlineStr">
        <is>
          <t>AVESTA</t>
        </is>
      </c>
      <c r="G206" t="n">
        <v>1.7</v>
      </c>
      <c r="H206" t="n">
        <v>0</v>
      </c>
      <c r="I206" t="n">
        <v>0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s="2" t="inlineStr"/>
    </row>
    <row r="207" ht="15" customHeight="1">
      <c r="A207" t="inlineStr">
        <is>
          <t>A 59932-2023</t>
        </is>
      </c>
      <c r="B207" s="1" t="n">
        <v>45257.66511574074</v>
      </c>
      <c r="C207" s="1" t="n">
        <v>45998</v>
      </c>
      <c r="D207" t="inlineStr">
        <is>
          <t>DALARNAS LÄN</t>
        </is>
      </c>
      <c r="E207" t="inlineStr">
        <is>
          <t>AVESTA</t>
        </is>
      </c>
      <c r="G207" t="n">
        <v>1.7</v>
      </c>
      <c r="H207" t="n">
        <v>0</v>
      </c>
      <c r="I207" t="n">
        <v>0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s="2" t="inlineStr"/>
    </row>
    <row r="208" ht="15" customHeight="1">
      <c r="A208" t="inlineStr">
        <is>
          <t>A 28108-2022</t>
        </is>
      </c>
      <c r="B208" s="1" t="n">
        <v>44746</v>
      </c>
      <c r="C208" s="1" t="n">
        <v>45998</v>
      </c>
      <c r="D208" t="inlineStr">
        <is>
          <t>DALARNAS LÄN</t>
        </is>
      </c>
      <c r="E208" t="inlineStr">
        <is>
          <t>AVESTA</t>
        </is>
      </c>
      <c r="G208" t="n">
        <v>0.9</v>
      </c>
      <c r="H208" t="n">
        <v>0</v>
      </c>
      <c r="I208" t="n">
        <v>0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s="2" t="inlineStr"/>
    </row>
    <row r="209" ht="15" customHeight="1">
      <c r="A209" t="inlineStr">
        <is>
          <t>A 27343-2024</t>
        </is>
      </c>
      <c r="B209" s="1" t="n">
        <v>45473.49309027778</v>
      </c>
      <c r="C209" s="1" t="n">
        <v>45998</v>
      </c>
      <c r="D209" t="inlineStr">
        <is>
          <t>DALARNAS LÄN</t>
        </is>
      </c>
      <c r="E209" t="inlineStr">
        <is>
          <t>AVESTA</t>
        </is>
      </c>
      <c r="G209" t="n">
        <v>3.6</v>
      </c>
      <c r="H209" t="n">
        <v>0</v>
      </c>
      <c r="I209" t="n">
        <v>0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s="2" t="inlineStr"/>
    </row>
    <row r="210" ht="15" customHeight="1">
      <c r="A210" t="inlineStr">
        <is>
          <t>A 4747-2024</t>
        </is>
      </c>
      <c r="B210" s="1" t="n">
        <v>45328</v>
      </c>
      <c r="C210" s="1" t="n">
        <v>45998</v>
      </c>
      <c r="D210" t="inlineStr">
        <is>
          <t>DALARNAS LÄN</t>
        </is>
      </c>
      <c r="E210" t="inlineStr">
        <is>
          <t>AVESTA</t>
        </is>
      </c>
      <c r="G210" t="n">
        <v>0.8</v>
      </c>
      <c r="H210" t="n">
        <v>0</v>
      </c>
      <c r="I210" t="n">
        <v>0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s="2" t="inlineStr"/>
    </row>
    <row r="211" ht="15" customHeight="1">
      <c r="A211" t="inlineStr">
        <is>
          <t>A 24123-2025</t>
        </is>
      </c>
      <c r="B211" s="1" t="n">
        <v>45796</v>
      </c>
      <c r="C211" s="1" t="n">
        <v>45998</v>
      </c>
      <c r="D211" t="inlineStr">
        <is>
          <t>DALARNAS LÄN</t>
        </is>
      </c>
      <c r="E211" t="inlineStr">
        <is>
          <t>AVESTA</t>
        </is>
      </c>
      <c r="G211" t="n">
        <v>5.6</v>
      </c>
      <c r="H211" t="n">
        <v>0</v>
      </c>
      <c r="I211" t="n">
        <v>0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s="2" t="inlineStr"/>
    </row>
    <row r="212" ht="15" customHeight="1">
      <c r="A212" t="inlineStr">
        <is>
          <t>A 20835-2025</t>
        </is>
      </c>
      <c r="B212" s="1" t="n">
        <v>45776</v>
      </c>
      <c r="C212" s="1" t="n">
        <v>45998</v>
      </c>
      <c r="D212" t="inlineStr">
        <is>
          <t>DALARNAS LÄN</t>
        </is>
      </c>
      <c r="E212" t="inlineStr">
        <is>
          <t>AVESTA</t>
        </is>
      </c>
      <c r="G212" t="n">
        <v>4.4</v>
      </c>
      <c r="H212" t="n">
        <v>0</v>
      </c>
      <c r="I212" t="n">
        <v>0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s="2" t="inlineStr"/>
    </row>
    <row r="213" ht="15" customHeight="1">
      <c r="A213" t="inlineStr">
        <is>
          <t>A 36004-2025</t>
        </is>
      </c>
      <c r="B213" s="1" t="n">
        <v>45863.54708333333</v>
      </c>
      <c r="C213" s="1" t="n">
        <v>45998</v>
      </c>
      <c r="D213" t="inlineStr">
        <is>
          <t>DALARNAS LÄN</t>
        </is>
      </c>
      <c r="E213" t="inlineStr">
        <is>
          <t>AVESTA</t>
        </is>
      </c>
      <c r="F213" t="inlineStr">
        <is>
          <t>Sveaskog</t>
        </is>
      </c>
      <c r="G213" t="n">
        <v>14.1</v>
      </c>
      <c r="H213" t="n">
        <v>0</v>
      </c>
      <c r="I213" t="n">
        <v>0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s="2" t="inlineStr"/>
    </row>
    <row r="214" ht="15" customHeight="1">
      <c r="A214" t="inlineStr">
        <is>
          <t>A 36003-2025</t>
        </is>
      </c>
      <c r="B214" s="1" t="n">
        <v>45863.54394675926</v>
      </c>
      <c r="C214" s="1" t="n">
        <v>45998</v>
      </c>
      <c r="D214" t="inlineStr">
        <is>
          <t>DALARNAS LÄN</t>
        </is>
      </c>
      <c r="E214" t="inlineStr">
        <is>
          <t>AVESTA</t>
        </is>
      </c>
      <c r="F214" t="inlineStr">
        <is>
          <t>Sveaskog</t>
        </is>
      </c>
      <c r="G214" t="n">
        <v>1.4</v>
      </c>
      <c r="H214" t="n">
        <v>0</v>
      </c>
      <c r="I214" t="n">
        <v>0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s="2" t="inlineStr"/>
    </row>
    <row r="215" ht="15" customHeight="1">
      <c r="A215" t="inlineStr">
        <is>
          <t>A 36132-2025</t>
        </is>
      </c>
      <c r="B215" s="1" t="n">
        <v>45866</v>
      </c>
      <c r="C215" s="1" t="n">
        <v>45998</v>
      </c>
      <c r="D215" t="inlineStr">
        <is>
          <t>DALARNAS LÄN</t>
        </is>
      </c>
      <c r="E215" t="inlineStr">
        <is>
          <t>AVESTA</t>
        </is>
      </c>
      <c r="G215" t="n">
        <v>10.6</v>
      </c>
      <c r="H215" t="n">
        <v>0</v>
      </c>
      <c r="I215" t="n">
        <v>0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s="2" t="inlineStr"/>
    </row>
    <row r="216" ht="15" customHeight="1">
      <c r="A216" t="inlineStr">
        <is>
          <t>A 36005-2025</t>
        </is>
      </c>
      <c r="B216" s="1" t="n">
        <v>45863.54924768519</v>
      </c>
      <c r="C216" s="1" t="n">
        <v>45998</v>
      </c>
      <c r="D216" t="inlineStr">
        <is>
          <t>DALARNAS LÄN</t>
        </is>
      </c>
      <c r="E216" t="inlineStr">
        <is>
          <t>AVESTA</t>
        </is>
      </c>
      <c r="F216" t="inlineStr">
        <is>
          <t>Sveaskog</t>
        </is>
      </c>
      <c r="G216" t="n">
        <v>5.1</v>
      </c>
      <c r="H216" t="n">
        <v>0</v>
      </c>
      <c r="I216" t="n">
        <v>0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s="2" t="inlineStr"/>
    </row>
    <row r="217" ht="15" customHeight="1">
      <c r="A217" t="inlineStr">
        <is>
          <t>A 36178-2025</t>
        </is>
      </c>
      <c r="B217" s="1" t="n">
        <v>45867.40835648148</v>
      </c>
      <c r="C217" s="1" t="n">
        <v>45998</v>
      </c>
      <c r="D217" t="inlineStr">
        <is>
          <t>DALARNAS LÄN</t>
        </is>
      </c>
      <c r="E217" t="inlineStr">
        <is>
          <t>AVESTA</t>
        </is>
      </c>
      <c r="G217" t="n">
        <v>1.3</v>
      </c>
      <c r="H217" t="n">
        <v>0</v>
      </c>
      <c r="I217" t="n">
        <v>0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s="2" t="inlineStr"/>
    </row>
    <row r="218" ht="15" customHeight="1">
      <c r="A218" t="inlineStr">
        <is>
          <t>A 44471-2024</t>
        </is>
      </c>
      <c r="B218" s="1" t="n">
        <v>45574.37385416667</v>
      </c>
      <c r="C218" s="1" t="n">
        <v>45998</v>
      </c>
      <c r="D218" t="inlineStr">
        <is>
          <t>DALARNAS LÄN</t>
        </is>
      </c>
      <c r="E218" t="inlineStr">
        <is>
          <t>AVESTA</t>
        </is>
      </c>
      <c r="G218" t="n">
        <v>1.7</v>
      </c>
      <c r="H218" t="n">
        <v>0</v>
      </c>
      <c r="I218" t="n">
        <v>0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s="2" t="inlineStr"/>
    </row>
    <row r="219" ht="15" customHeight="1">
      <c r="A219" t="inlineStr">
        <is>
          <t>A 24198-2025</t>
        </is>
      </c>
      <c r="B219" s="1" t="n">
        <v>45796.9152662037</v>
      </c>
      <c r="C219" s="1" t="n">
        <v>45998</v>
      </c>
      <c r="D219" t="inlineStr">
        <is>
          <t>DALARNAS LÄN</t>
        </is>
      </c>
      <c r="E219" t="inlineStr">
        <is>
          <t>AVESTA</t>
        </is>
      </c>
      <c r="G219" t="n">
        <v>1.8</v>
      </c>
      <c r="H219" t="n">
        <v>0</v>
      </c>
      <c r="I219" t="n">
        <v>0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s="2" t="inlineStr"/>
    </row>
    <row r="220" ht="15" customHeight="1">
      <c r="A220" t="inlineStr">
        <is>
          <t>A 40049-2024</t>
        </is>
      </c>
      <c r="B220" s="1" t="n">
        <v>45553</v>
      </c>
      <c r="C220" s="1" t="n">
        <v>45998</v>
      </c>
      <c r="D220" t="inlineStr">
        <is>
          <t>DALARNAS LÄN</t>
        </is>
      </c>
      <c r="E220" t="inlineStr">
        <is>
          <t>AVESTA</t>
        </is>
      </c>
      <c r="G220" t="n">
        <v>2</v>
      </c>
      <c r="H220" t="n">
        <v>0</v>
      </c>
      <c r="I220" t="n">
        <v>0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s="2" t="inlineStr"/>
    </row>
    <row r="221" ht="15" customHeight="1">
      <c r="A221" t="inlineStr">
        <is>
          <t>A 9403-2022</t>
        </is>
      </c>
      <c r="B221" s="1" t="n">
        <v>44616</v>
      </c>
      <c r="C221" s="1" t="n">
        <v>45998</v>
      </c>
      <c r="D221" t="inlineStr">
        <is>
          <t>DALARNAS LÄN</t>
        </is>
      </c>
      <c r="E221" t="inlineStr">
        <is>
          <t>AVESTA</t>
        </is>
      </c>
      <c r="G221" t="n">
        <v>0.9</v>
      </c>
      <c r="H221" t="n">
        <v>0</v>
      </c>
      <c r="I221" t="n">
        <v>0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s="2" t="inlineStr"/>
    </row>
    <row r="222" ht="15" customHeight="1">
      <c r="A222" t="inlineStr">
        <is>
          <t>A 38689-2025</t>
        </is>
      </c>
      <c r="B222" s="1" t="n">
        <v>45884.66238425926</v>
      </c>
      <c r="C222" s="1" t="n">
        <v>45998</v>
      </c>
      <c r="D222" t="inlineStr">
        <is>
          <t>DALARNAS LÄN</t>
        </is>
      </c>
      <c r="E222" t="inlineStr">
        <is>
          <t>AVESTA</t>
        </is>
      </c>
      <c r="G222" t="n">
        <v>1.9</v>
      </c>
      <c r="H222" t="n">
        <v>0</v>
      </c>
      <c r="I222" t="n">
        <v>0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s="2" t="inlineStr"/>
    </row>
    <row r="223" ht="15" customHeight="1">
      <c r="A223" t="inlineStr">
        <is>
          <t>A 21766-2025</t>
        </is>
      </c>
      <c r="B223" s="1" t="n">
        <v>45783.64758101852</v>
      </c>
      <c r="C223" s="1" t="n">
        <v>45998</v>
      </c>
      <c r="D223" t="inlineStr">
        <is>
          <t>DALARNAS LÄN</t>
        </is>
      </c>
      <c r="E223" t="inlineStr">
        <is>
          <t>AVESTA</t>
        </is>
      </c>
      <c r="G223" t="n">
        <v>0.8</v>
      </c>
      <c r="H223" t="n">
        <v>0</v>
      </c>
      <c r="I223" t="n">
        <v>0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s="2" t="inlineStr"/>
    </row>
    <row r="224" ht="15" customHeight="1">
      <c r="A224" t="inlineStr">
        <is>
          <t>A 3195-2024</t>
        </is>
      </c>
      <c r="B224" s="1" t="n">
        <v>45316.6802662037</v>
      </c>
      <c r="C224" s="1" t="n">
        <v>45998</v>
      </c>
      <c r="D224" t="inlineStr">
        <is>
          <t>DALARNAS LÄN</t>
        </is>
      </c>
      <c r="E224" t="inlineStr">
        <is>
          <t>AVESTA</t>
        </is>
      </c>
      <c r="G224" t="n">
        <v>1.1</v>
      </c>
      <c r="H224" t="n">
        <v>0</v>
      </c>
      <c r="I224" t="n">
        <v>0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s="2" t="inlineStr"/>
    </row>
    <row r="225" ht="15" customHeight="1">
      <c r="A225" t="inlineStr">
        <is>
          <t>A 24194-2025</t>
        </is>
      </c>
      <c r="B225" s="1" t="n">
        <v>45796.90516203704</v>
      </c>
      <c r="C225" s="1" t="n">
        <v>45998</v>
      </c>
      <c r="D225" t="inlineStr">
        <is>
          <t>DALARNAS LÄN</t>
        </is>
      </c>
      <c r="E225" t="inlineStr">
        <is>
          <t>AVESTA</t>
        </is>
      </c>
      <c r="G225" t="n">
        <v>2</v>
      </c>
      <c r="H225" t="n">
        <v>0</v>
      </c>
      <c r="I225" t="n">
        <v>0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s="2" t="inlineStr"/>
    </row>
    <row r="226" ht="15" customHeight="1">
      <c r="A226" t="inlineStr">
        <is>
          <t>A 37211-2025</t>
        </is>
      </c>
      <c r="B226" s="1" t="n">
        <v>45875</v>
      </c>
      <c r="C226" s="1" t="n">
        <v>45998</v>
      </c>
      <c r="D226" t="inlineStr">
        <is>
          <t>DALARNAS LÄN</t>
        </is>
      </c>
      <c r="E226" t="inlineStr">
        <is>
          <t>AVESTA</t>
        </is>
      </c>
      <c r="G226" t="n">
        <v>11.7</v>
      </c>
      <c r="H226" t="n">
        <v>0</v>
      </c>
      <c r="I226" t="n">
        <v>0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s="2" t="inlineStr"/>
    </row>
    <row r="227" ht="15" customHeight="1">
      <c r="A227" t="inlineStr">
        <is>
          <t>A 37386-2025</t>
        </is>
      </c>
      <c r="B227" s="1" t="n">
        <v>45877.39427083333</v>
      </c>
      <c r="C227" s="1" t="n">
        <v>45998</v>
      </c>
      <c r="D227" t="inlineStr">
        <is>
          <t>DALARNAS LÄN</t>
        </is>
      </c>
      <c r="E227" t="inlineStr">
        <is>
          <t>AVESTA</t>
        </is>
      </c>
      <c r="G227" t="n">
        <v>6.5</v>
      </c>
      <c r="H227" t="n">
        <v>0</v>
      </c>
      <c r="I227" t="n">
        <v>0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s="2" t="inlineStr"/>
    </row>
    <row r="228" ht="15" customHeight="1">
      <c r="A228" t="inlineStr">
        <is>
          <t>A 31921-2024</t>
        </is>
      </c>
      <c r="B228" s="1" t="n">
        <v>45510.39645833334</v>
      </c>
      <c r="C228" s="1" t="n">
        <v>45998</v>
      </c>
      <c r="D228" t="inlineStr">
        <is>
          <t>DALARNAS LÄN</t>
        </is>
      </c>
      <c r="E228" t="inlineStr">
        <is>
          <t>AVESTA</t>
        </is>
      </c>
      <c r="G228" t="n">
        <v>1</v>
      </c>
      <c r="H228" t="n">
        <v>0</v>
      </c>
      <c r="I228" t="n">
        <v>0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s="2" t="inlineStr"/>
    </row>
    <row r="229" ht="15" customHeight="1">
      <c r="A229" t="inlineStr">
        <is>
          <t>A 37387-2025</t>
        </is>
      </c>
      <c r="B229" s="1" t="n">
        <v>45877.39608796296</v>
      </c>
      <c r="C229" s="1" t="n">
        <v>45998</v>
      </c>
      <c r="D229" t="inlineStr">
        <is>
          <t>DALARNAS LÄN</t>
        </is>
      </c>
      <c r="E229" t="inlineStr">
        <is>
          <t>AVESTA</t>
        </is>
      </c>
      <c r="G229" t="n">
        <v>4.3</v>
      </c>
      <c r="H229" t="n">
        <v>0</v>
      </c>
      <c r="I229" t="n">
        <v>0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s="2" t="inlineStr"/>
    </row>
    <row r="230" ht="15" customHeight="1">
      <c r="A230" t="inlineStr">
        <is>
          <t>A 23568-2025</t>
        </is>
      </c>
      <c r="B230" s="1" t="n">
        <v>45792.60416666666</v>
      </c>
      <c r="C230" s="1" t="n">
        <v>45998</v>
      </c>
      <c r="D230" t="inlineStr">
        <is>
          <t>DALARNAS LÄN</t>
        </is>
      </c>
      <c r="E230" t="inlineStr">
        <is>
          <t>AVESTA</t>
        </is>
      </c>
      <c r="G230" t="n">
        <v>3</v>
      </c>
      <c r="H230" t="n">
        <v>0</v>
      </c>
      <c r="I230" t="n">
        <v>0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s="2" t="inlineStr"/>
    </row>
    <row r="231" ht="15" customHeight="1">
      <c r="A231" t="inlineStr">
        <is>
          <t>A 37809-2025</t>
        </is>
      </c>
      <c r="B231" s="1" t="n">
        <v>45881.36699074074</v>
      </c>
      <c r="C231" s="1" t="n">
        <v>45998</v>
      </c>
      <c r="D231" t="inlineStr">
        <is>
          <t>DALARNAS LÄN</t>
        </is>
      </c>
      <c r="E231" t="inlineStr">
        <is>
          <t>AVESTA</t>
        </is>
      </c>
      <c r="G231" t="n">
        <v>1</v>
      </c>
      <c r="H231" t="n">
        <v>0</v>
      </c>
      <c r="I231" t="n">
        <v>0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s="2" t="inlineStr"/>
    </row>
    <row r="232" ht="15" customHeight="1">
      <c r="A232" t="inlineStr">
        <is>
          <t>A 49358-2022</t>
        </is>
      </c>
      <c r="B232" s="1" t="n">
        <v>44861</v>
      </c>
      <c r="C232" s="1" t="n">
        <v>45998</v>
      </c>
      <c r="D232" t="inlineStr">
        <is>
          <t>DALARNAS LÄN</t>
        </is>
      </c>
      <c r="E232" t="inlineStr">
        <is>
          <t>AVESTA</t>
        </is>
      </c>
      <c r="G232" t="n">
        <v>2.9</v>
      </c>
      <c r="H232" t="n">
        <v>0</v>
      </c>
      <c r="I232" t="n">
        <v>0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s="2" t="inlineStr"/>
    </row>
    <row r="233" ht="15" customHeight="1">
      <c r="A233" t="inlineStr">
        <is>
          <t>A 39253-2025</t>
        </is>
      </c>
      <c r="B233" s="1" t="n">
        <v>45889.36387731481</v>
      </c>
      <c r="C233" s="1" t="n">
        <v>45998</v>
      </c>
      <c r="D233" t="inlineStr">
        <is>
          <t>DALARNAS LÄN</t>
        </is>
      </c>
      <c r="E233" t="inlineStr">
        <is>
          <t>AVESTA</t>
        </is>
      </c>
      <c r="F233" t="inlineStr">
        <is>
          <t>Sveaskog</t>
        </is>
      </c>
      <c r="G233" t="n">
        <v>10.2</v>
      </c>
      <c r="H233" t="n">
        <v>0</v>
      </c>
      <c r="I233" t="n">
        <v>0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s="2" t="inlineStr"/>
    </row>
    <row r="234" ht="15" customHeight="1">
      <c r="A234" t="inlineStr">
        <is>
          <t>A 47026-2025</t>
        </is>
      </c>
      <c r="B234" s="1" t="n">
        <v>45929.58412037037</v>
      </c>
      <c r="C234" s="1" t="n">
        <v>45998</v>
      </c>
      <c r="D234" t="inlineStr">
        <is>
          <t>DALARNAS LÄN</t>
        </is>
      </c>
      <c r="E234" t="inlineStr">
        <is>
          <t>AVESTA</t>
        </is>
      </c>
      <c r="G234" t="n">
        <v>1.9</v>
      </c>
      <c r="H234" t="n">
        <v>0</v>
      </c>
      <c r="I234" t="n">
        <v>0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s="2" t="inlineStr"/>
    </row>
    <row r="235" ht="15" customHeight="1">
      <c r="A235" t="inlineStr">
        <is>
          <t>A 40634-2025</t>
        </is>
      </c>
      <c r="B235" s="1" t="n">
        <v>45896.60366898148</v>
      </c>
      <c r="C235" s="1" t="n">
        <v>45998</v>
      </c>
      <c r="D235" t="inlineStr">
        <is>
          <t>DALARNAS LÄN</t>
        </is>
      </c>
      <c r="E235" t="inlineStr">
        <is>
          <t>AVESTA</t>
        </is>
      </c>
      <c r="G235" t="n">
        <v>3.8</v>
      </c>
      <c r="H235" t="n">
        <v>0</v>
      </c>
      <c r="I235" t="n">
        <v>0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s="2" t="inlineStr"/>
    </row>
    <row r="236" ht="15" customHeight="1">
      <c r="A236" t="inlineStr">
        <is>
          <t>A 40633-2025</t>
        </is>
      </c>
      <c r="B236" s="1" t="n">
        <v>45896.60225694445</v>
      </c>
      <c r="C236" s="1" t="n">
        <v>45998</v>
      </c>
      <c r="D236" t="inlineStr">
        <is>
          <t>DALARNAS LÄN</t>
        </is>
      </c>
      <c r="E236" t="inlineStr">
        <is>
          <t>AVESTA</t>
        </is>
      </c>
      <c r="G236" t="n">
        <v>3.9</v>
      </c>
      <c r="H236" t="n">
        <v>0</v>
      </c>
      <c r="I236" t="n">
        <v>0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s="2" t="inlineStr"/>
    </row>
    <row r="237" ht="15" customHeight="1">
      <c r="A237" t="inlineStr">
        <is>
          <t>A 40750-2025</t>
        </is>
      </c>
      <c r="B237" s="1" t="n">
        <v>45897.3830787037</v>
      </c>
      <c r="C237" s="1" t="n">
        <v>45998</v>
      </c>
      <c r="D237" t="inlineStr">
        <is>
          <t>DALARNAS LÄN</t>
        </is>
      </c>
      <c r="E237" t="inlineStr">
        <is>
          <t>AVESTA</t>
        </is>
      </c>
      <c r="G237" t="n">
        <v>1.7</v>
      </c>
      <c r="H237" t="n">
        <v>0</v>
      </c>
      <c r="I237" t="n">
        <v>0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s="2" t="inlineStr"/>
    </row>
    <row r="238" ht="15" customHeight="1">
      <c r="A238" t="inlineStr">
        <is>
          <t>A 40761-2025</t>
        </is>
      </c>
      <c r="B238" s="1" t="n">
        <v>45897.39358796296</v>
      </c>
      <c r="C238" s="1" t="n">
        <v>45998</v>
      </c>
      <c r="D238" t="inlineStr">
        <is>
          <t>DALARNAS LÄN</t>
        </is>
      </c>
      <c r="E238" t="inlineStr">
        <is>
          <t>AVESTA</t>
        </is>
      </c>
      <c r="G238" t="n">
        <v>0.7</v>
      </c>
      <c r="H238" t="n">
        <v>0</v>
      </c>
      <c r="I238" t="n">
        <v>0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s="2" t="inlineStr"/>
    </row>
    <row r="239" ht="15" customHeight="1">
      <c r="A239" t="inlineStr">
        <is>
          <t>A 40711-2025</t>
        </is>
      </c>
      <c r="B239" s="1" t="n">
        <v>45897.34166666667</v>
      </c>
      <c r="C239" s="1" t="n">
        <v>45998</v>
      </c>
      <c r="D239" t="inlineStr">
        <is>
          <t>DALARNAS LÄN</t>
        </is>
      </c>
      <c r="E239" t="inlineStr">
        <is>
          <t>AVESTA</t>
        </is>
      </c>
      <c r="G239" t="n">
        <v>1</v>
      </c>
      <c r="H239" t="n">
        <v>0</v>
      </c>
      <c r="I239" t="n">
        <v>0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s="2" t="inlineStr"/>
    </row>
    <row r="240" ht="15" customHeight="1">
      <c r="A240" t="inlineStr">
        <is>
          <t>A 40710-2025</t>
        </is>
      </c>
      <c r="B240" s="1" t="n">
        <v>45897.3397800926</v>
      </c>
      <c r="C240" s="1" t="n">
        <v>45998</v>
      </c>
      <c r="D240" t="inlineStr">
        <is>
          <t>DALARNAS LÄN</t>
        </is>
      </c>
      <c r="E240" t="inlineStr">
        <is>
          <t>AVESTA</t>
        </is>
      </c>
      <c r="G240" t="n">
        <v>4.5</v>
      </c>
      <c r="H240" t="n">
        <v>0</v>
      </c>
      <c r="I240" t="n">
        <v>0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s="2" t="inlineStr"/>
    </row>
    <row r="241" ht="15" customHeight="1">
      <c r="A241" t="inlineStr">
        <is>
          <t>A 40755-2025</t>
        </is>
      </c>
      <c r="B241" s="1" t="n">
        <v>45897.38670138889</v>
      </c>
      <c r="C241" s="1" t="n">
        <v>45998</v>
      </c>
      <c r="D241" t="inlineStr">
        <is>
          <t>DALARNAS LÄN</t>
        </is>
      </c>
      <c r="E241" t="inlineStr">
        <is>
          <t>AVESTA</t>
        </is>
      </c>
      <c r="G241" t="n">
        <v>2.2</v>
      </c>
      <c r="H241" t="n">
        <v>0</v>
      </c>
      <c r="I241" t="n">
        <v>0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s="2" t="inlineStr"/>
    </row>
    <row r="242" ht="15" customHeight="1">
      <c r="A242" t="inlineStr">
        <is>
          <t>A 23439-2025</t>
        </is>
      </c>
      <c r="B242" s="1" t="n">
        <v>45792</v>
      </c>
      <c r="C242" s="1" t="n">
        <v>45998</v>
      </c>
      <c r="D242" t="inlineStr">
        <is>
          <t>DALARNAS LÄN</t>
        </is>
      </c>
      <c r="E242" t="inlineStr">
        <is>
          <t>AVESTA</t>
        </is>
      </c>
      <c r="F242" t="inlineStr">
        <is>
          <t>Sveaskog</t>
        </is>
      </c>
      <c r="G242" t="n">
        <v>6</v>
      </c>
      <c r="H242" t="n">
        <v>0</v>
      </c>
      <c r="I242" t="n">
        <v>0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s="2" t="inlineStr"/>
    </row>
    <row r="243" ht="15" customHeight="1">
      <c r="A243" t="inlineStr">
        <is>
          <t>A 56009-2025</t>
        </is>
      </c>
      <c r="B243" s="1" t="n">
        <v>45973.58447916667</v>
      </c>
      <c r="C243" s="1" t="n">
        <v>45998</v>
      </c>
      <c r="D243" t="inlineStr">
        <is>
          <t>DALARNAS LÄN</t>
        </is>
      </c>
      <c r="E243" t="inlineStr">
        <is>
          <t>AVESTA</t>
        </is>
      </c>
      <c r="G243" t="n">
        <v>5.6</v>
      </c>
      <c r="H243" t="n">
        <v>0</v>
      </c>
      <c r="I243" t="n">
        <v>0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s="2" t="inlineStr"/>
    </row>
    <row r="244" ht="15" customHeight="1">
      <c r="A244" t="inlineStr">
        <is>
          <t>A 23146-2025</t>
        </is>
      </c>
      <c r="B244" s="1" t="n">
        <v>45791.39899305555</v>
      </c>
      <c r="C244" s="1" t="n">
        <v>45998</v>
      </c>
      <c r="D244" t="inlineStr">
        <is>
          <t>DALARNAS LÄN</t>
        </is>
      </c>
      <c r="E244" t="inlineStr">
        <is>
          <t>AVESTA</t>
        </is>
      </c>
      <c r="G244" t="n">
        <v>1.6</v>
      </c>
      <c r="H244" t="n">
        <v>0</v>
      </c>
      <c r="I244" t="n">
        <v>0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s="2" t="inlineStr"/>
    </row>
    <row r="245" ht="15" customHeight="1">
      <c r="A245" t="inlineStr">
        <is>
          <t>A 13553-2025</t>
        </is>
      </c>
      <c r="B245" s="1" t="n">
        <v>45736</v>
      </c>
      <c r="C245" s="1" t="n">
        <v>45998</v>
      </c>
      <c r="D245" t="inlineStr">
        <is>
          <t>DALARNAS LÄN</t>
        </is>
      </c>
      <c r="E245" t="inlineStr">
        <is>
          <t>AVESTA</t>
        </is>
      </c>
      <c r="G245" t="n">
        <v>2.9</v>
      </c>
      <c r="H245" t="n">
        <v>0</v>
      </c>
      <c r="I245" t="n">
        <v>0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s="2" t="inlineStr"/>
    </row>
    <row r="246" ht="15" customHeight="1">
      <c r="A246" t="inlineStr">
        <is>
          <t>A 48548-2025</t>
        </is>
      </c>
      <c r="B246" s="1" t="n">
        <v>45936.42234953704</v>
      </c>
      <c r="C246" s="1" t="n">
        <v>45998</v>
      </c>
      <c r="D246" t="inlineStr">
        <is>
          <t>DALARNAS LÄN</t>
        </is>
      </c>
      <c r="E246" t="inlineStr">
        <is>
          <t>AVESTA</t>
        </is>
      </c>
      <c r="G246" t="n">
        <v>0.5</v>
      </c>
      <c r="H246" t="n">
        <v>0</v>
      </c>
      <c r="I246" t="n">
        <v>0</v>
      </c>
      <c r="J246" t="n">
        <v>0</v>
      </c>
      <c r="K246" t="n">
        <v>0</v>
      </c>
      <c r="L246" t="n">
        <v>0</v>
      </c>
      <c r="M246" t="n">
        <v>0</v>
      </c>
      <c r="N246" t="n">
        <v>0</v>
      </c>
      <c r="O246" t="n">
        <v>0</v>
      </c>
      <c r="P246" t="n">
        <v>0</v>
      </c>
      <c r="Q246" t="n">
        <v>0</v>
      </c>
      <c r="R246" s="2" t="inlineStr"/>
    </row>
    <row r="247" ht="15" customHeight="1">
      <c r="A247" t="inlineStr">
        <is>
          <t>A 48293-2025</t>
        </is>
      </c>
      <c r="B247" s="1" t="n">
        <v>45933.60197916667</v>
      </c>
      <c r="C247" s="1" t="n">
        <v>45998</v>
      </c>
      <c r="D247" t="inlineStr">
        <is>
          <t>DALARNAS LÄN</t>
        </is>
      </c>
      <c r="E247" t="inlineStr">
        <is>
          <t>AVESTA</t>
        </is>
      </c>
      <c r="G247" t="n">
        <v>2.3</v>
      </c>
      <c r="H247" t="n">
        <v>0</v>
      </c>
      <c r="I247" t="n">
        <v>0</v>
      </c>
      <c r="J247" t="n">
        <v>0</v>
      </c>
      <c r="K247" t="n">
        <v>0</v>
      </c>
      <c r="L247" t="n">
        <v>0</v>
      </c>
      <c r="M247" t="n">
        <v>0</v>
      </c>
      <c r="N247" t="n">
        <v>0</v>
      </c>
      <c r="O247" t="n">
        <v>0</v>
      </c>
      <c r="P247" t="n">
        <v>0</v>
      </c>
      <c r="Q247" t="n">
        <v>0</v>
      </c>
      <c r="R247" s="2" t="inlineStr"/>
    </row>
    <row r="248" ht="15" customHeight="1">
      <c r="A248" t="inlineStr">
        <is>
          <t>A 42072-2025</t>
        </is>
      </c>
      <c r="B248" s="1" t="n">
        <v>45903.66252314814</v>
      </c>
      <c r="C248" s="1" t="n">
        <v>45998</v>
      </c>
      <c r="D248" t="inlineStr">
        <is>
          <t>DALARNAS LÄN</t>
        </is>
      </c>
      <c r="E248" t="inlineStr">
        <is>
          <t>AVESTA</t>
        </is>
      </c>
      <c r="G248" t="n">
        <v>1.8</v>
      </c>
      <c r="H248" t="n">
        <v>0</v>
      </c>
      <c r="I248" t="n">
        <v>0</v>
      </c>
      <c r="J248" t="n">
        <v>0</v>
      </c>
      <c r="K248" t="n">
        <v>0</v>
      </c>
      <c r="L248" t="n">
        <v>0</v>
      </c>
      <c r="M248" t="n">
        <v>0</v>
      </c>
      <c r="N248" t="n">
        <v>0</v>
      </c>
      <c r="O248" t="n">
        <v>0</v>
      </c>
      <c r="P248" t="n">
        <v>0</v>
      </c>
      <c r="Q248" t="n">
        <v>0</v>
      </c>
      <c r="R248" s="2" t="inlineStr"/>
    </row>
    <row r="249" ht="15" customHeight="1">
      <c r="A249" t="inlineStr">
        <is>
          <t>A 41852-2025</t>
        </is>
      </c>
      <c r="B249" s="1" t="n">
        <v>45902.85230324074</v>
      </c>
      <c r="C249" s="1" t="n">
        <v>45998</v>
      </c>
      <c r="D249" t="inlineStr">
        <is>
          <t>DALARNAS LÄN</t>
        </is>
      </c>
      <c r="E249" t="inlineStr">
        <is>
          <t>AVESTA</t>
        </is>
      </c>
      <c r="G249" t="n">
        <v>1.5</v>
      </c>
      <c r="H249" t="n">
        <v>0</v>
      </c>
      <c r="I249" t="n">
        <v>0</v>
      </c>
      <c r="J249" t="n">
        <v>0</v>
      </c>
      <c r="K249" t="n">
        <v>0</v>
      </c>
      <c r="L249" t="n">
        <v>0</v>
      </c>
      <c r="M249" t="n">
        <v>0</v>
      </c>
      <c r="N249" t="n">
        <v>0</v>
      </c>
      <c r="O249" t="n">
        <v>0</v>
      </c>
      <c r="P249" t="n">
        <v>0</v>
      </c>
      <c r="Q249" t="n">
        <v>0</v>
      </c>
      <c r="R249" s="2" t="inlineStr"/>
    </row>
    <row r="250" ht="15" customHeight="1">
      <c r="A250" t="inlineStr">
        <is>
          <t>A 48536-2025</t>
        </is>
      </c>
      <c r="B250" s="1" t="n">
        <v>45936.40972222222</v>
      </c>
      <c r="C250" s="1" t="n">
        <v>45998</v>
      </c>
      <c r="D250" t="inlineStr">
        <is>
          <t>DALARNAS LÄN</t>
        </is>
      </c>
      <c r="E250" t="inlineStr">
        <is>
          <t>AVESTA</t>
        </is>
      </c>
      <c r="G250" t="n">
        <v>2.7</v>
      </c>
      <c r="H250" t="n">
        <v>0</v>
      </c>
      <c r="I250" t="n">
        <v>0</v>
      </c>
      <c r="J250" t="n">
        <v>0</v>
      </c>
      <c r="K250" t="n">
        <v>0</v>
      </c>
      <c r="L250" t="n">
        <v>0</v>
      </c>
      <c r="M250" t="n">
        <v>0</v>
      </c>
      <c r="N250" t="n">
        <v>0</v>
      </c>
      <c r="O250" t="n">
        <v>0</v>
      </c>
      <c r="P250" t="n">
        <v>0</v>
      </c>
      <c r="Q250" t="n">
        <v>0</v>
      </c>
      <c r="R250" s="2" t="inlineStr"/>
    </row>
    <row r="251" ht="15" customHeight="1">
      <c r="A251" t="inlineStr">
        <is>
          <t>A 23200-2025</t>
        </is>
      </c>
      <c r="B251" s="1" t="n">
        <v>45791.45935185185</v>
      </c>
      <c r="C251" s="1" t="n">
        <v>45998</v>
      </c>
      <c r="D251" t="inlineStr">
        <is>
          <t>DALARNAS LÄN</t>
        </is>
      </c>
      <c r="E251" t="inlineStr">
        <is>
          <t>AVESTA</t>
        </is>
      </c>
      <c r="G251" t="n">
        <v>1.8</v>
      </c>
      <c r="H251" t="n">
        <v>0</v>
      </c>
      <c r="I251" t="n">
        <v>0</v>
      </c>
      <c r="J251" t="n">
        <v>0</v>
      </c>
      <c r="K251" t="n">
        <v>0</v>
      </c>
      <c r="L251" t="n">
        <v>0</v>
      </c>
      <c r="M251" t="n">
        <v>0</v>
      </c>
      <c r="N251" t="n">
        <v>0</v>
      </c>
      <c r="O251" t="n">
        <v>0</v>
      </c>
      <c r="P251" t="n">
        <v>0</v>
      </c>
      <c r="Q251" t="n">
        <v>0</v>
      </c>
      <c r="R251" s="2" t="inlineStr"/>
    </row>
    <row r="252" ht="15" customHeight="1">
      <c r="A252" t="inlineStr">
        <is>
          <t>A 32254-2021</t>
        </is>
      </c>
      <c r="B252" s="1" t="n">
        <v>44371.45925925926</v>
      </c>
      <c r="C252" s="1" t="n">
        <v>45998</v>
      </c>
      <c r="D252" t="inlineStr">
        <is>
          <t>DALARNAS LÄN</t>
        </is>
      </c>
      <c r="E252" t="inlineStr">
        <is>
          <t>AVESTA</t>
        </is>
      </c>
      <c r="G252" t="n">
        <v>1.1</v>
      </c>
      <c r="H252" t="n">
        <v>0</v>
      </c>
      <c r="I252" t="n">
        <v>0</v>
      </c>
      <c r="J252" t="n">
        <v>0</v>
      </c>
      <c r="K252" t="n">
        <v>0</v>
      </c>
      <c r="L252" t="n">
        <v>0</v>
      </c>
      <c r="M252" t="n">
        <v>0</v>
      </c>
      <c r="N252" t="n">
        <v>0</v>
      </c>
      <c r="O252" t="n">
        <v>0</v>
      </c>
      <c r="P252" t="n">
        <v>0</v>
      </c>
      <c r="Q252" t="n">
        <v>0</v>
      </c>
      <c r="R252" s="2" t="inlineStr"/>
    </row>
    <row r="253" ht="15" customHeight="1">
      <c r="A253" t="inlineStr">
        <is>
          <t>A 13550-2025</t>
        </is>
      </c>
      <c r="B253" s="1" t="n">
        <v>45736</v>
      </c>
      <c r="C253" s="1" t="n">
        <v>45998</v>
      </c>
      <c r="D253" t="inlineStr">
        <is>
          <t>DALARNAS LÄN</t>
        </is>
      </c>
      <c r="E253" t="inlineStr">
        <is>
          <t>AVESTA</t>
        </is>
      </c>
      <c r="G253" t="n">
        <v>1.1</v>
      </c>
      <c r="H253" t="n">
        <v>0</v>
      </c>
      <c r="I253" t="n">
        <v>0</v>
      </c>
      <c r="J253" t="n">
        <v>0</v>
      </c>
      <c r="K253" t="n">
        <v>0</v>
      </c>
      <c r="L253" t="n">
        <v>0</v>
      </c>
      <c r="M253" t="n">
        <v>0</v>
      </c>
      <c r="N253" t="n">
        <v>0</v>
      </c>
      <c r="O253" t="n">
        <v>0</v>
      </c>
      <c r="P253" t="n">
        <v>0</v>
      </c>
      <c r="Q253" t="n">
        <v>0</v>
      </c>
      <c r="R253" s="2" t="inlineStr"/>
    </row>
    <row r="254" ht="15" customHeight="1">
      <c r="A254" t="inlineStr">
        <is>
          <t>A 42956-2025</t>
        </is>
      </c>
      <c r="B254" s="1" t="n">
        <v>45909.35978009259</v>
      </c>
      <c r="C254" s="1" t="n">
        <v>45998</v>
      </c>
      <c r="D254" t="inlineStr">
        <is>
          <t>DALARNAS LÄN</t>
        </is>
      </c>
      <c r="E254" t="inlineStr">
        <is>
          <t>AVESTA</t>
        </is>
      </c>
      <c r="G254" t="n">
        <v>0.7</v>
      </c>
      <c r="H254" t="n">
        <v>0</v>
      </c>
      <c r="I254" t="n">
        <v>0</v>
      </c>
      <c r="J254" t="n">
        <v>0</v>
      </c>
      <c r="K254" t="n">
        <v>0</v>
      </c>
      <c r="L254" t="n">
        <v>0</v>
      </c>
      <c r="M254" t="n">
        <v>0</v>
      </c>
      <c r="N254" t="n">
        <v>0</v>
      </c>
      <c r="O254" t="n">
        <v>0</v>
      </c>
      <c r="P254" t="n">
        <v>0</v>
      </c>
      <c r="Q254" t="n">
        <v>0</v>
      </c>
      <c r="R254" s="2" t="inlineStr"/>
    </row>
    <row r="255" ht="15" customHeight="1">
      <c r="A255" t="inlineStr">
        <is>
          <t>A 15925-2024</t>
        </is>
      </c>
      <c r="B255" s="1" t="n">
        <v>45405.45806712963</v>
      </c>
      <c r="C255" s="1" t="n">
        <v>45998</v>
      </c>
      <c r="D255" t="inlineStr">
        <is>
          <t>DALARNAS LÄN</t>
        </is>
      </c>
      <c r="E255" t="inlineStr">
        <is>
          <t>AVESTA</t>
        </is>
      </c>
      <c r="G255" t="n">
        <v>13.7</v>
      </c>
      <c r="H255" t="n">
        <v>0</v>
      </c>
      <c r="I255" t="n">
        <v>0</v>
      </c>
      <c r="J255" t="n">
        <v>0</v>
      </c>
      <c r="K255" t="n">
        <v>0</v>
      </c>
      <c r="L255" t="n">
        <v>0</v>
      </c>
      <c r="M255" t="n">
        <v>0</v>
      </c>
      <c r="N255" t="n">
        <v>0</v>
      </c>
      <c r="O255" t="n">
        <v>0</v>
      </c>
      <c r="P255" t="n">
        <v>0</v>
      </c>
      <c r="Q255" t="n">
        <v>0</v>
      </c>
      <c r="R255" s="2" t="inlineStr"/>
    </row>
    <row r="256" ht="15" customHeight="1">
      <c r="A256" t="inlineStr">
        <is>
          <t>A 2808-2022</t>
        </is>
      </c>
      <c r="B256" s="1" t="n">
        <v>44581</v>
      </c>
      <c r="C256" s="1" t="n">
        <v>45998</v>
      </c>
      <c r="D256" t="inlineStr">
        <is>
          <t>DALARNAS LÄN</t>
        </is>
      </c>
      <c r="E256" t="inlineStr">
        <is>
          <t>AVESTA</t>
        </is>
      </c>
      <c r="G256" t="n">
        <v>2.3</v>
      </c>
      <c r="H256" t="n">
        <v>0</v>
      </c>
      <c r="I256" t="n">
        <v>0</v>
      </c>
      <c r="J256" t="n">
        <v>0</v>
      </c>
      <c r="K256" t="n">
        <v>0</v>
      </c>
      <c r="L256" t="n">
        <v>0</v>
      </c>
      <c r="M256" t="n">
        <v>0</v>
      </c>
      <c r="N256" t="n">
        <v>0</v>
      </c>
      <c r="O256" t="n">
        <v>0</v>
      </c>
      <c r="P256" t="n">
        <v>0</v>
      </c>
      <c r="Q256" t="n">
        <v>0</v>
      </c>
      <c r="R256" s="2" t="inlineStr"/>
    </row>
    <row r="257" ht="15" customHeight="1">
      <c r="A257" t="inlineStr">
        <is>
          <t>A 43283-2025</t>
        </is>
      </c>
      <c r="B257" s="1" t="n">
        <v>45910.60125</v>
      </c>
      <c r="C257" s="1" t="n">
        <v>45998</v>
      </c>
      <c r="D257" t="inlineStr">
        <is>
          <t>DALARNAS LÄN</t>
        </is>
      </c>
      <c r="E257" t="inlineStr">
        <is>
          <t>AVESTA</t>
        </is>
      </c>
      <c r="G257" t="n">
        <v>1.3</v>
      </c>
      <c r="H257" t="n">
        <v>0</v>
      </c>
      <c r="I257" t="n">
        <v>0</v>
      </c>
      <c r="J257" t="n">
        <v>0</v>
      </c>
      <c r="K257" t="n">
        <v>0</v>
      </c>
      <c r="L257" t="n">
        <v>0</v>
      </c>
      <c r="M257" t="n">
        <v>0</v>
      </c>
      <c r="N257" t="n">
        <v>0</v>
      </c>
      <c r="O257" t="n">
        <v>0</v>
      </c>
      <c r="P257" t="n">
        <v>0</v>
      </c>
      <c r="Q257" t="n">
        <v>0</v>
      </c>
      <c r="R257" s="2" t="inlineStr"/>
    </row>
    <row r="258" ht="15" customHeight="1">
      <c r="A258" t="inlineStr">
        <is>
          <t>A 12167-2023</t>
        </is>
      </c>
      <c r="B258" s="1" t="n">
        <v>44998.51373842593</v>
      </c>
      <c r="C258" s="1" t="n">
        <v>45998</v>
      </c>
      <c r="D258" t="inlineStr">
        <is>
          <t>DALARNAS LÄN</t>
        </is>
      </c>
      <c r="E258" t="inlineStr">
        <is>
          <t>AVESTA</t>
        </is>
      </c>
      <c r="G258" t="n">
        <v>1.6</v>
      </c>
      <c r="H258" t="n">
        <v>0</v>
      </c>
      <c r="I258" t="n">
        <v>0</v>
      </c>
      <c r="J258" t="n">
        <v>0</v>
      </c>
      <c r="K258" t="n">
        <v>0</v>
      </c>
      <c r="L258" t="n">
        <v>0</v>
      </c>
      <c r="M258" t="n">
        <v>0</v>
      </c>
      <c r="N258" t="n">
        <v>0</v>
      </c>
      <c r="O258" t="n">
        <v>0</v>
      </c>
      <c r="P258" t="n">
        <v>0</v>
      </c>
      <c r="Q258" t="n">
        <v>0</v>
      </c>
      <c r="R258" s="2" t="inlineStr"/>
    </row>
    <row r="259" ht="15" customHeight="1">
      <c r="A259" t="inlineStr">
        <is>
          <t>A 7320-2025</t>
        </is>
      </c>
      <c r="B259" s="1" t="n">
        <v>45702.8528125</v>
      </c>
      <c r="C259" s="1" t="n">
        <v>45998</v>
      </c>
      <c r="D259" t="inlineStr">
        <is>
          <t>DALARNAS LÄN</t>
        </is>
      </c>
      <c r="E259" t="inlineStr">
        <is>
          <t>AVESTA</t>
        </is>
      </c>
      <c r="G259" t="n">
        <v>1.3</v>
      </c>
      <c r="H259" t="n">
        <v>0</v>
      </c>
      <c r="I259" t="n">
        <v>0</v>
      </c>
      <c r="J259" t="n">
        <v>0</v>
      </c>
      <c r="K259" t="n">
        <v>0</v>
      </c>
      <c r="L259" t="n">
        <v>0</v>
      </c>
      <c r="M259" t="n">
        <v>0</v>
      </c>
      <c r="N259" t="n">
        <v>0</v>
      </c>
      <c r="O259" t="n">
        <v>0</v>
      </c>
      <c r="P259" t="n">
        <v>0</v>
      </c>
      <c r="Q259" t="n">
        <v>0</v>
      </c>
      <c r="R259" s="2" t="inlineStr"/>
    </row>
    <row r="260" ht="15" customHeight="1">
      <c r="A260" t="inlineStr">
        <is>
          <t>A 43172-2025</t>
        </is>
      </c>
      <c r="B260" s="1" t="n">
        <v>45910.39777777778</v>
      </c>
      <c r="C260" s="1" t="n">
        <v>45998</v>
      </c>
      <c r="D260" t="inlineStr">
        <is>
          <t>DALARNAS LÄN</t>
        </is>
      </c>
      <c r="E260" t="inlineStr">
        <is>
          <t>AVESTA</t>
        </is>
      </c>
      <c r="G260" t="n">
        <v>0.6</v>
      </c>
      <c r="H260" t="n">
        <v>0</v>
      </c>
      <c r="I260" t="n">
        <v>0</v>
      </c>
      <c r="J260" t="n">
        <v>0</v>
      </c>
      <c r="K260" t="n">
        <v>0</v>
      </c>
      <c r="L260" t="n">
        <v>0</v>
      </c>
      <c r="M260" t="n">
        <v>0</v>
      </c>
      <c r="N260" t="n">
        <v>0</v>
      </c>
      <c r="O260" t="n">
        <v>0</v>
      </c>
      <c r="P260" t="n">
        <v>0</v>
      </c>
      <c r="Q260" t="n">
        <v>0</v>
      </c>
      <c r="R260" s="2" t="inlineStr"/>
    </row>
    <row r="261" ht="15" customHeight="1">
      <c r="A261" t="inlineStr">
        <is>
          <t>A 52470-2025</t>
        </is>
      </c>
      <c r="B261" s="1" t="n">
        <v>45954.45457175926</v>
      </c>
      <c r="C261" s="1" t="n">
        <v>45998</v>
      </c>
      <c r="D261" t="inlineStr">
        <is>
          <t>DALARNAS LÄN</t>
        </is>
      </c>
      <c r="E261" t="inlineStr">
        <is>
          <t>AVESTA</t>
        </is>
      </c>
      <c r="G261" t="n">
        <v>1.5</v>
      </c>
      <c r="H261" t="n">
        <v>0</v>
      </c>
      <c r="I261" t="n">
        <v>0</v>
      </c>
      <c r="J261" t="n">
        <v>0</v>
      </c>
      <c r="K261" t="n">
        <v>0</v>
      </c>
      <c r="L261" t="n">
        <v>0</v>
      </c>
      <c r="M261" t="n">
        <v>0</v>
      </c>
      <c r="N261" t="n">
        <v>0</v>
      </c>
      <c r="O261" t="n">
        <v>0</v>
      </c>
      <c r="P261" t="n">
        <v>0</v>
      </c>
      <c r="Q261" t="n">
        <v>0</v>
      </c>
      <c r="R261" s="2" t="inlineStr"/>
    </row>
    <row r="262" ht="15" customHeight="1">
      <c r="A262" t="inlineStr">
        <is>
          <t>A 55384-2023</t>
        </is>
      </c>
      <c r="B262" s="1" t="n">
        <v>45238.36009259259</v>
      </c>
      <c r="C262" s="1" t="n">
        <v>45998</v>
      </c>
      <c r="D262" t="inlineStr">
        <is>
          <t>DALARNAS LÄN</t>
        </is>
      </c>
      <c r="E262" t="inlineStr">
        <is>
          <t>AVESTA</t>
        </is>
      </c>
      <c r="G262" t="n">
        <v>5.3</v>
      </c>
      <c r="H262" t="n">
        <v>0</v>
      </c>
      <c r="I262" t="n">
        <v>0</v>
      </c>
      <c r="J262" t="n">
        <v>0</v>
      </c>
      <c r="K262" t="n">
        <v>0</v>
      </c>
      <c r="L262" t="n">
        <v>0</v>
      </c>
      <c r="M262" t="n">
        <v>0</v>
      </c>
      <c r="N262" t="n">
        <v>0</v>
      </c>
      <c r="O262" t="n">
        <v>0</v>
      </c>
      <c r="P262" t="n">
        <v>0</v>
      </c>
      <c r="Q262" t="n">
        <v>0</v>
      </c>
      <c r="R262" s="2" t="inlineStr"/>
    </row>
    <row r="263" ht="15" customHeight="1">
      <c r="A263" t="inlineStr">
        <is>
          <t>A 24147-2025</t>
        </is>
      </c>
      <c r="B263" s="1" t="n">
        <v>45796.64581018518</v>
      </c>
      <c r="C263" s="1" t="n">
        <v>45998</v>
      </c>
      <c r="D263" t="inlineStr">
        <is>
          <t>DALARNAS LÄN</t>
        </is>
      </c>
      <c r="E263" t="inlineStr">
        <is>
          <t>AVESTA</t>
        </is>
      </c>
      <c r="G263" t="n">
        <v>3</v>
      </c>
      <c r="H263" t="n">
        <v>0</v>
      </c>
      <c r="I263" t="n">
        <v>0</v>
      </c>
      <c r="J263" t="n">
        <v>0</v>
      </c>
      <c r="K263" t="n">
        <v>0</v>
      </c>
      <c r="L263" t="n">
        <v>0</v>
      </c>
      <c r="M263" t="n">
        <v>0</v>
      </c>
      <c r="N263" t="n">
        <v>0</v>
      </c>
      <c r="O263" t="n">
        <v>0</v>
      </c>
      <c r="P263" t="n">
        <v>0</v>
      </c>
      <c r="Q263" t="n">
        <v>0</v>
      </c>
      <c r="R263" s="2" t="inlineStr"/>
    </row>
    <row r="264" ht="15" customHeight="1">
      <c r="A264" t="inlineStr">
        <is>
          <t>A 43670-2025</t>
        </is>
      </c>
      <c r="B264" s="1" t="n">
        <v>45912.36398148148</v>
      </c>
      <c r="C264" s="1" t="n">
        <v>45998</v>
      </c>
      <c r="D264" t="inlineStr">
        <is>
          <t>DALARNAS LÄN</t>
        </is>
      </c>
      <c r="E264" t="inlineStr">
        <is>
          <t>AVESTA</t>
        </is>
      </c>
      <c r="F264" t="inlineStr">
        <is>
          <t>Sveaskog</t>
        </is>
      </c>
      <c r="G264" t="n">
        <v>4</v>
      </c>
      <c r="H264" t="n">
        <v>0</v>
      </c>
      <c r="I264" t="n">
        <v>0</v>
      </c>
      <c r="J264" t="n">
        <v>0</v>
      </c>
      <c r="K264" t="n">
        <v>0</v>
      </c>
      <c r="L264" t="n">
        <v>0</v>
      </c>
      <c r="M264" t="n">
        <v>0</v>
      </c>
      <c r="N264" t="n">
        <v>0</v>
      </c>
      <c r="O264" t="n">
        <v>0</v>
      </c>
      <c r="P264" t="n">
        <v>0</v>
      </c>
      <c r="Q264" t="n">
        <v>0</v>
      </c>
      <c r="R264" s="2" t="inlineStr"/>
    </row>
    <row r="265" ht="15" customHeight="1">
      <c r="A265" t="inlineStr">
        <is>
          <t>A 56644-2025</t>
        </is>
      </c>
      <c r="B265" s="1" t="n">
        <v>45975.62692129629</v>
      </c>
      <c r="C265" s="1" t="n">
        <v>45998</v>
      </c>
      <c r="D265" t="inlineStr">
        <is>
          <t>DALARNAS LÄN</t>
        </is>
      </c>
      <c r="E265" t="inlineStr">
        <is>
          <t>AVESTA</t>
        </is>
      </c>
      <c r="G265" t="n">
        <v>1.2</v>
      </c>
      <c r="H265" t="n">
        <v>0</v>
      </c>
      <c r="I265" t="n">
        <v>0</v>
      </c>
      <c r="J265" t="n">
        <v>0</v>
      </c>
      <c r="K265" t="n">
        <v>0</v>
      </c>
      <c r="L265" t="n">
        <v>0</v>
      </c>
      <c r="M265" t="n">
        <v>0</v>
      </c>
      <c r="N265" t="n">
        <v>0</v>
      </c>
      <c r="O265" t="n">
        <v>0</v>
      </c>
      <c r="P265" t="n">
        <v>0</v>
      </c>
      <c r="Q265" t="n">
        <v>0</v>
      </c>
      <c r="R265" s="2" t="inlineStr"/>
    </row>
    <row r="266" ht="15" customHeight="1">
      <c r="A266" t="inlineStr">
        <is>
          <t>A 61483-2023</t>
        </is>
      </c>
      <c r="B266" s="1" t="n">
        <v>45264.94263888889</v>
      </c>
      <c r="C266" s="1" t="n">
        <v>45998</v>
      </c>
      <c r="D266" t="inlineStr">
        <is>
          <t>DALARNAS LÄN</t>
        </is>
      </c>
      <c r="E266" t="inlineStr">
        <is>
          <t>AVESTA</t>
        </is>
      </c>
      <c r="G266" t="n">
        <v>3.8</v>
      </c>
      <c r="H266" t="n">
        <v>0</v>
      </c>
      <c r="I266" t="n">
        <v>0</v>
      </c>
      <c r="J266" t="n">
        <v>0</v>
      </c>
      <c r="K266" t="n">
        <v>0</v>
      </c>
      <c r="L266" t="n">
        <v>0</v>
      </c>
      <c r="M266" t="n">
        <v>0</v>
      </c>
      <c r="N266" t="n">
        <v>0</v>
      </c>
      <c r="O266" t="n">
        <v>0</v>
      </c>
      <c r="P266" t="n">
        <v>0</v>
      </c>
      <c r="Q266" t="n">
        <v>0</v>
      </c>
      <c r="R266" s="2" t="inlineStr"/>
    </row>
    <row r="267" ht="15" customHeight="1">
      <c r="A267" t="inlineStr">
        <is>
          <t>A 24195-2025</t>
        </is>
      </c>
      <c r="B267" s="1" t="n">
        <v>45796.90869212963</v>
      </c>
      <c r="C267" s="1" t="n">
        <v>45998</v>
      </c>
      <c r="D267" t="inlineStr">
        <is>
          <t>DALARNAS LÄN</t>
        </is>
      </c>
      <c r="E267" t="inlineStr">
        <is>
          <t>AVESTA</t>
        </is>
      </c>
      <c r="G267" t="n">
        <v>0.3</v>
      </c>
      <c r="H267" t="n">
        <v>0</v>
      </c>
      <c r="I267" t="n">
        <v>0</v>
      </c>
      <c r="J267" t="n">
        <v>0</v>
      </c>
      <c r="K267" t="n">
        <v>0</v>
      </c>
      <c r="L267" t="n">
        <v>0</v>
      </c>
      <c r="M267" t="n">
        <v>0</v>
      </c>
      <c r="N267" t="n">
        <v>0</v>
      </c>
      <c r="O267" t="n">
        <v>0</v>
      </c>
      <c r="P267" t="n">
        <v>0</v>
      </c>
      <c r="Q267" t="n">
        <v>0</v>
      </c>
      <c r="R267" s="2" t="inlineStr"/>
    </row>
    <row r="268" ht="15" customHeight="1">
      <c r="A268" t="inlineStr">
        <is>
          <t>A 24197-2025</t>
        </is>
      </c>
      <c r="B268" s="1" t="n">
        <v>45796.91277777778</v>
      </c>
      <c r="C268" s="1" t="n">
        <v>45998</v>
      </c>
      <c r="D268" t="inlineStr">
        <is>
          <t>DALARNAS LÄN</t>
        </is>
      </c>
      <c r="E268" t="inlineStr">
        <is>
          <t>AVESTA</t>
        </is>
      </c>
      <c r="G268" t="n">
        <v>0.3</v>
      </c>
      <c r="H268" t="n">
        <v>0</v>
      </c>
      <c r="I268" t="n">
        <v>0</v>
      </c>
      <c r="J268" t="n">
        <v>0</v>
      </c>
      <c r="K268" t="n">
        <v>0</v>
      </c>
      <c r="L268" t="n">
        <v>0</v>
      </c>
      <c r="M268" t="n">
        <v>0</v>
      </c>
      <c r="N268" t="n">
        <v>0</v>
      </c>
      <c r="O268" t="n">
        <v>0</v>
      </c>
      <c r="P268" t="n">
        <v>0</v>
      </c>
      <c r="Q268" t="n">
        <v>0</v>
      </c>
      <c r="R268" s="2" t="inlineStr"/>
    </row>
    <row r="269" ht="15" customHeight="1">
      <c r="A269" t="inlineStr">
        <is>
          <t>A 10957-2024</t>
        </is>
      </c>
      <c r="B269" s="1" t="n">
        <v>45370.48724537037</v>
      </c>
      <c r="C269" s="1" t="n">
        <v>45998</v>
      </c>
      <c r="D269" t="inlineStr">
        <is>
          <t>DALARNAS LÄN</t>
        </is>
      </c>
      <c r="E269" t="inlineStr">
        <is>
          <t>AVESTA</t>
        </is>
      </c>
      <c r="G269" t="n">
        <v>3.3</v>
      </c>
      <c r="H269" t="n">
        <v>0</v>
      </c>
      <c r="I269" t="n">
        <v>0</v>
      </c>
      <c r="J269" t="n">
        <v>0</v>
      </c>
      <c r="K269" t="n">
        <v>0</v>
      </c>
      <c r="L269" t="n">
        <v>0</v>
      </c>
      <c r="M269" t="n">
        <v>0</v>
      </c>
      <c r="N269" t="n">
        <v>0</v>
      </c>
      <c r="O269" t="n">
        <v>0</v>
      </c>
      <c r="P269" t="n">
        <v>0</v>
      </c>
      <c r="Q269" t="n">
        <v>0</v>
      </c>
      <c r="R269" s="2" t="inlineStr"/>
    </row>
    <row r="270" ht="15" customHeight="1">
      <c r="A270" t="inlineStr">
        <is>
          <t>A 24199-2025</t>
        </is>
      </c>
      <c r="B270" s="1" t="n">
        <v>45796.92254629629</v>
      </c>
      <c r="C270" s="1" t="n">
        <v>45998</v>
      </c>
      <c r="D270" t="inlineStr">
        <is>
          <t>DALARNAS LÄN</t>
        </is>
      </c>
      <c r="E270" t="inlineStr">
        <is>
          <t>AVESTA</t>
        </is>
      </c>
      <c r="G270" t="n">
        <v>3.5</v>
      </c>
      <c r="H270" t="n">
        <v>0</v>
      </c>
      <c r="I270" t="n">
        <v>0</v>
      </c>
      <c r="J270" t="n">
        <v>0</v>
      </c>
      <c r="K270" t="n">
        <v>0</v>
      </c>
      <c r="L270" t="n">
        <v>0</v>
      </c>
      <c r="M270" t="n">
        <v>0</v>
      </c>
      <c r="N270" t="n">
        <v>0</v>
      </c>
      <c r="O270" t="n">
        <v>0</v>
      </c>
      <c r="P270" t="n">
        <v>0</v>
      </c>
      <c r="Q270" t="n">
        <v>0</v>
      </c>
      <c r="R270" s="2" t="inlineStr"/>
    </row>
    <row r="271" ht="15" customHeight="1">
      <c r="A271" t="inlineStr">
        <is>
          <t>A 62093-2024</t>
        </is>
      </c>
      <c r="B271" s="1" t="n">
        <v>45656.48398148148</v>
      </c>
      <c r="C271" s="1" t="n">
        <v>45998</v>
      </c>
      <c r="D271" t="inlineStr">
        <is>
          <t>DALARNAS LÄN</t>
        </is>
      </c>
      <c r="E271" t="inlineStr">
        <is>
          <t>AVESTA</t>
        </is>
      </c>
      <c r="G271" t="n">
        <v>1.9</v>
      </c>
      <c r="H271" t="n">
        <v>0</v>
      </c>
      <c r="I271" t="n">
        <v>0</v>
      </c>
      <c r="J271" t="n">
        <v>0</v>
      </c>
      <c r="K271" t="n">
        <v>0</v>
      </c>
      <c r="L271" t="n">
        <v>0</v>
      </c>
      <c r="M271" t="n">
        <v>0</v>
      </c>
      <c r="N271" t="n">
        <v>0</v>
      </c>
      <c r="O271" t="n">
        <v>0</v>
      </c>
      <c r="P271" t="n">
        <v>0</v>
      </c>
      <c r="Q271" t="n">
        <v>0</v>
      </c>
      <c r="R271" s="2" t="inlineStr"/>
    </row>
    <row r="272" ht="15" customHeight="1">
      <c r="A272" t="inlineStr">
        <is>
          <t>A 43361-2025</t>
        </is>
      </c>
      <c r="B272" s="1" t="n">
        <v>45911.34414351852</v>
      </c>
      <c r="C272" s="1" t="n">
        <v>45998</v>
      </c>
      <c r="D272" t="inlineStr">
        <is>
          <t>DALARNAS LÄN</t>
        </is>
      </c>
      <c r="E272" t="inlineStr">
        <is>
          <t>AVESTA</t>
        </is>
      </c>
      <c r="G272" t="n">
        <v>2.3</v>
      </c>
      <c r="H272" t="n">
        <v>0</v>
      </c>
      <c r="I272" t="n">
        <v>0</v>
      </c>
      <c r="J272" t="n">
        <v>0</v>
      </c>
      <c r="K272" t="n">
        <v>0</v>
      </c>
      <c r="L272" t="n">
        <v>0</v>
      </c>
      <c r="M272" t="n">
        <v>0</v>
      </c>
      <c r="N272" t="n">
        <v>0</v>
      </c>
      <c r="O272" t="n">
        <v>0</v>
      </c>
      <c r="P272" t="n">
        <v>0</v>
      </c>
      <c r="Q272" t="n">
        <v>0</v>
      </c>
      <c r="R272" s="2" t="inlineStr"/>
    </row>
    <row r="273" ht="15" customHeight="1">
      <c r="A273" t="inlineStr">
        <is>
          <t>A 26715-2023</t>
        </is>
      </c>
      <c r="B273" s="1" t="n">
        <v>45093.38451388889</v>
      </c>
      <c r="C273" s="1" t="n">
        <v>45998</v>
      </c>
      <c r="D273" t="inlineStr">
        <is>
          <t>DALARNAS LÄN</t>
        </is>
      </c>
      <c r="E273" t="inlineStr">
        <is>
          <t>AVESTA</t>
        </is>
      </c>
      <c r="G273" t="n">
        <v>1.9</v>
      </c>
      <c r="H273" t="n">
        <v>0</v>
      </c>
      <c r="I273" t="n">
        <v>0</v>
      </c>
      <c r="J273" t="n">
        <v>0</v>
      </c>
      <c r="K273" t="n">
        <v>0</v>
      </c>
      <c r="L273" t="n">
        <v>0</v>
      </c>
      <c r="M273" t="n">
        <v>0</v>
      </c>
      <c r="N273" t="n">
        <v>0</v>
      </c>
      <c r="O273" t="n">
        <v>0</v>
      </c>
      <c r="P273" t="n">
        <v>0</v>
      </c>
      <c r="Q273" t="n">
        <v>0</v>
      </c>
      <c r="R273" s="2" t="inlineStr"/>
    </row>
    <row r="274" ht="15" customHeight="1">
      <c r="A274" t="inlineStr">
        <is>
          <t>A 57495-2025</t>
        </is>
      </c>
      <c r="B274" s="1" t="n">
        <v>45980</v>
      </c>
      <c r="C274" s="1" t="n">
        <v>45998</v>
      </c>
      <c r="D274" t="inlineStr">
        <is>
          <t>DALARNAS LÄN</t>
        </is>
      </c>
      <c r="E274" t="inlineStr">
        <is>
          <t>AVESTA</t>
        </is>
      </c>
      <c r="G274" t="n">
        <v>1.2</v>
      </c>
      <c r="H274" t="n">
        <v>0</v>
      </c>
      <c r="I274" t="n">
        <v>0</v>
      </c>
      <c r="J274" t="n">
        <v>0</v>
      </c>
      <c r="K274" t="n">
        <v>0</v>
      </c>
      <c r="L274" t="n">
        <v>0</v>
      </c>
      <c r="M274" t="n">
        <v>0</v>
      </c>
      <c r="N274" t="n">
        <v>0</v>
      </c>
      <c r="O274" t="n">
        <v>0</v>
      </c>
      <c r="P274" t="n">
        <v>0</v>
      </c>
      <c r="Q274" t="n">
        <v>0</v>
      </c>
      <c r="R274" s="2" t="inlineStr"/>
    </row>
    <row r="275" ht="15" customHeight="1">
      <c r="A275" t="inlineStr">
        <is>
          <t>A 31387-2024</t>
        </is>
      </c>
      <c r="B275" s="1" t="n">
        <v>45505.45959490741</v>
      </c>
      <c r="C275" s="1" t="n">
        <v>45998</v>
      </c>
      <c r="D275" t="inlineStr">
        <is>
          <t>DALARNAS LÄN</t>
        </is>
      </c>
      <c r="E275" t="inlineStr">
        <is>
          <t>AVESTA</t>
        </is>
      </c>
      <c r="G275" t="n">
        <v>2.6</v>
      </c>
      <c r="H275" t="n">
        <v>0</v>
      </c>
      <c r="I275" t="n">
        <v>0</v>
      </c>
      <c r="J275" t="n">
        <v>0</v>
      </c>
      <c r="K275" t="n">
        <v>0</v>
      </c>
      <c r="L275" t="n">
        <v>0</v>
      </c>
      <c r="M275" t="n">
        <v>0</v>
      </c>
      <c r="N275" t="n">
        <v>0</v>
      </c>
      <c r="O275" t="n">
        <v>0</v>
      </c>
      <c r="P275" t="n">
        <v>0</v>
      </c>
      <c r="Q275" t="n">
        <v>0</v>
      </c>
      <c r="R275" s="2" t="inlineStr"/>
    </row>
    <row r="276" ht="15" customHeight="1">
      <c r="A276" t="inlineStr">
        <is>
          <t>A 52860-2025</t>
        </is>
      </c>
      <c r="B276" s="1" t="n">
        <v>45957.50334490741</v>
      </c>
      <c r="C276" s="1" t="n">
        <v>45998</v>
      </c>
      <c r="D276" t="inlineStr">
        <is>
          <t>DALARNAS LÄN</t>
        </is>
      </c>
      <c r="E276" t="inlineStr">
        <is>
          <t>AVESTA</t>
        </is>
      </c>
      <c r="G276" t="n">
        <v>1.4</v>
      </c>
      <c r="H276" t="n">
        <v>0</v>
      </c>
      <c r="I276" t="n">
        <v>0</v>
      </c>
      <c r="J276" t="n">
        <v>0</v>
      </c>
      <c r="K276" t="n">
        <v>0</v>
      </c>
      <c r="L276" t="n">
        <v>0</v>
      </c>
      <c r="M276" t="n">
        <v>0</v>
      </c>
      <c r="N276" t="n">
        <v>0</v>
      </c>
      <c r="O276" t="n">
        <v>0</v>
      </c>
      <c r="P276" t="n">
        <v>0</v>
      </c>
      <c r="Q276" t="n">
        <v>0</v>
      </c>
      <c r="R276" s="2" t="inlineStr"/>
    </row>
    <row r="277" ht="15" customHeight="1">
      <c r="A277" t="inlineStr">
        <is>
          <t>A 24834-2025</t>
        </is>
      </c>
      <c r="B277" s="1" t="n">
        <v>45799</v>
      </c>
      <c r="C277" s="1" t="n">
        <v>45998</v>
      </c>
      <c r="D277" t="inlineStr">
        <is>
          <t>DALARNAS LÄN</t>
        </is>
      </c>
      <c r="E277" t="inlineStr">
        <is>
          <t>AVESTA</t>
        </is>
      </c>
      <c r="G277" t="n">
        <v>1</v>
      </c>
      <c r="H277" t="n">
        <v>0</v>
      </c>
      <c r="I277" t="n">
        <v>0</v>
      </c>
      <c r="J277" t="n">
        <v>0</v>
      </c>
      <c r="K277" t="n">
        <v>0</v>
      </c>
      <c r="L277" t="n">
        <v>0</v>
      </c>
      <c r="M277" t="n">
        <v>0</v>
      </c>
      <c r="N277" t="n">
        <v>0</v>
      </c>
      <c r="O277" t="n">
        <v>0</v>
      </c>
      <c r="P277" t="n">
        <v>0</v>
      </c>
      <c r="Q277" t="n">
        <v>0</v>
      </c>
      <c r="R277" s="2" t="inlineStr"/>
    </row>
    <row r="278" ht="15" customHeight="1">
      <c r="A278" t="inlineStr">
        <is>
          <t>A 57259-2025</t>
        </is>
      </c>
      <c r="B278" s="1" t="n">
        <v>45979.65329861111</v>
      </c>
      <c r="C278" s="1" t="n">
        <v>45998</v>
      </c>
      <c r="D278" t="inlineStr">
        <is>
          <t>DALARNAS LÄN</t>
        </is>
      </c>
      <c r="E278" t="inlineStr">
        <is>
          <t>AVESTA</t>
        </is>
      </c>
      <c r="G278" t="n">
        <v>0.9</v>
      </c>
      <c r="H278" t="n">
        <v>0</v>
      </c>
      <c r="I278" t="n">
        <v>0</v>
      </c>
      <c r="J278" t="n">
        <v>0</v>
      </c>
      <c r="K278" t="n">
        <v>0</v>
      </c>
      <c r="L278" t="n">
        <v>0</v>
      </c>
      <c r="M278" t="n">
        <v>0</v>
      </c>
      <c r="N278" t="n">
        <v>0</v>
      </c>
      <c r="O278" t="n">
        <v>0</v>
      </c>
      <c r="P278" t="n">
        <v>0</v>
      </c>
      <c r="Q278" t="n">
        <v>0</v>
      </c>
      <c r="R278" s="2" t="inlineStr"/>
    </row>
    <row r="279" ht="15" customHeight="1">
      <c r="A279" t="inlineStr">
        <is>
          <t>A 24867-2025</t>
        </is>
      </c>
      <c r="B279" s="1" t="n">
        <v>45799</v>
      </c>
      <c r="C279" s="1" t="n">
        <v>45998</v>
      </c>
      <c r="D279" t="inlineStr">
        <is>
          <t>DALARNAS LÄN</t>
        </is>
      </c>
      <c r="E279" t="inlineStr">
        <is>
          <t>AVESTA</t>
        </is>
      </c>
      <c r="G279" t="n">
        <v>1</v>
      </c>
      <c r="H279" t="n">
        <v>0</v>
      </c>
      <c r="I279" t="n">
        <v>0</v>
      </c>
      <c r="J279" t="n">
        <v>0</v>
      </c>
      <c r="K279" t="n">
        <v>0</v>
      </c>
      <c r="L279" t="n">
        <v>0</v>
      </c>
      <c r="M279" t="n">
        <v>0</v>
      </c>
      <c r="N279" t="n">
        <v>0</v>
      </c>
      <c r="O279" t="n">
        <v>0</v>
      </c>
      <c r="P279" t="n">
        <v>0</v>
      </c>
      <c r="Q279" t="n">
        <v>0</v>
      </c>
      <c r="R279" s="2" t="inlineStr"/>
    </row>
    <row r="280" ht="15" customHeight="1">
      <c r="A280" t="inlineStr">
        <is>
          <t>A 24838-2025</t>
        </is>
      </c>
      <c r="B280" s="1" t="n">
        <v>45799.46366898148</v>
      </c>
      <c r="C280" s="1" t="n">
        <v>45998</v>
      </c>
      <c r="D280" t="inlineStr">
        <is>
          <t>DALARNAS LÄN</t>
        </is>
      </c>
      <c r="E280" t="inlineStr">
        <is>
          <t>AVESTA</t>
        </is>
      </c>
      <c r="G280" t="n">
        <v>0.9</v>
      </c>
      <c r="H280" t="n">
        <v>0</v>
      </c>
      <c r="I280" t="n">
        <v>0</v>
      </c>
      <c r="J280" t="n">
        <v>0</v>
      </c>
      <c r="K280" t="n">
        <v>0</v>
      </c>
      <c r="L280" t="n">
        <v>0</v>
      </c>
      <c r="M280" t="n">
        <v>0</v>
      </c>
      <c r="N280" t="n">
        <v>0</v>
      </c>
      <c r="O280" t="n">
        <v>0</v>
      </c>
      <c r="P280" t="n">
        <v>0</v>
      </c>
      <c r="Q280" t="n">
        <v>0</v>
      </c>
      <c r="R280" s="2" t="inlineStr"/>
    </row>
    <row r="281" ht="15" customHeight="1">
      <c r="A281" t="inlineStr">
        <is>
          <t>A 49099-2025</t>
        </is>
      </c>
      <c r="B281" s="1" t="n">
        <v>45937.70412037037</v>
      </c>
      <c r="C281" s="1" t="n">
        <v>45998</v>
      </c>
      <c r="D281" t="inlineStr">
        <is>
          <t>DALARNAS LÄN</t>
        </is>
      </c>
      <c r="E281" t="inlineStr">
        <is>
          <t>AVESTA</t>
        </is>
      </c>
      <c r="G281" t="n">
        <v>1</v>
      </c>
      <c r="H281" t="n">
        <v>0</v>
      </c>
      <c r="I281" t="n">
        <v>0</v>
      </c>
      <c r="J281" t="n">
        <v>0</v>
      </c>
      <c r="K281" t="n">
        <v>0</v>
      </c>
      <c r="L281" t="n">
        <v>0</v>
      </c>
      <c r="M281" t="n">
        <v>0</v>
      </c>
      <c r="N281" t="n">
        <v>0</v>
      </c>
      <c r="O281" t="n">
        <v>0</v>
      </c>
      <c r="P281" t="n">
        <v>0</v>
      </c>
      <c r="Q281" t="n">
        <v>0</v>
      </c>
      <c r="R281" s="2" t="inlineStr"/>
    </row>
    <row r="282" ht="15" customHeight="1">
      <c r="A282" t="inlineStr">
        <is>
          <t>A 25397-2025</t>
        </is>
      </c>
      <c r="B282" s="1" t="n">
        <v>45800.6515162037</v>
      </c>
      <c r="C282" s="1" t="n">
        <v>45998</v>
      </c>
      <c r="D282" t="inlineStr">
        <is>
          <t>DALARNAS LÄN</t>
        </is>
      </c>
      <c r="E282" t="inlineStr">
        <is>
          <t>AVESTA</t>
        </is>
      </c>
      <c r="G282" t="n">
        <v>7.6</v>
      </c>
      <c r="H282" t="n">
        <v>0</v>
      </c>
      <c r="I282" t="n">
        <v>0</v>
      </c>
      <c r="J282" t="n">
        <v>0</v>
      </c>
      <c r="K282" t="n">
        <v>0</v>
      </c>
      <c r="L282" t="n">
        <v>0</v>
      </c>
      <c r="M282" t="n">
        <v>0</v>
      </c>
      <c r="N282" t="n">
        <v>0</v>
      </c>
      <c r="O282" t="n">
        <v>0</v>
      </c>
      <c r="P282" t="n">
        <v>0</v>
      </c>
      <c r="Q282" t="n">
        <v>0</v>
      </c>
      <c r="R282" s="2" t="inlineStr"/>
    </row>
    <row r="283" ht="15" customHeight="1">
      <c r="A283" t="inlineStr">
        <is>
          <t>A 24845-2025</t>
        </is>
      </c>
      <c r="B283" s="1" t="n">
        <v>45799</v>
      </c>
      <c r="C283" s="1" t="n">
        <v>45998</v>
      </c>
      <c r="D283" t="inlineStr">
        <is>
          <t>DALARNAS LÄN</t>
        </is>
      </c>
      <c r="E283" t="inlineStr">
        <is>
          <t>AVESTA</t>
        </is>
      </c>
      <c r="G283" t="n">
        <v>1.4</v>
      </c>
      <c r="H283" t="n">
        <v>0</v>
      </c>
      <c r="I283" t="n">
        <v>0</v>
      </c>
      <c r="J283" t="n">
        <v>0</v>
      </c>
      <c r="K283" t="n">
        <v>0</v>
      </c>
      <c r="L283" t="n">
        <v>0</v>
      </c>
      <c r="M283" t="n">
        <v>0</v>
      </c>
      <c r="N283" t="n">
        <v>0</v>
      </c>
      <c r="O283" t="n">
        <v>0</v>
      </c>
      <c r="P283" t="n">
        <v>0</v>
      </c>
      <c r="Q283" t="n">
        <v>0</v>
      </c>
      <c r="R283" s="2" t="inlineStr"/>
    </row>
    <row r="284" ht="15" customHeight="1">
      <c r="A284" t="inlineStr">
        <is>
          <t>A 49095-2025</t>
        </is>
      </c>
      <c r="B284" s="1" t="n">
        <v>45937.69153935185</v>
      </c>
      <c r="C284" s="1" t="n">
        <v>45998</v>
      </c>
      <c r="D284" t="inlineStr">
        <is>
          <t>DALARNAS LÄN</t>
        </is>
      </c>
      <c r="E284" t="inlineStr">
        <is>
          <t>AVESTA</t>
        </is>
      </c>
      <c r="G284" t="n">
        <v>1.1</v>
      </c>
      <c r="H284" t="n">
        <v>0</v>
      </c>
      <c r="I284" t="n">
        <v>0</v>
      </c>
      <c r="J284" t="n">
        <v>0</v>
      </c>
      <c r="K284" t="n">
        <v>0</v>
      </c>
      <c r="L284" t="n">
        <v>0</v>
      </c>
      <c r="M284" t="n">
        <v>0</v>
      </c>
      <c r="N284" t="n">
        <v>0</v>
      </c>
      <c r="O284" t="n">
        <v>0</v>
      </c>
      <c r="P284" t="n">
        <v>0</v>
      </c>
      <c r="Q284" t="n">
        <v>0</v>
      </c>
      <c r="R284" s="2" t="inlineStr"/>
    </row>
    <row r="285" ht="15" customHeight="1">
      <c r="A285" t="inlineStr">
        <is>
          <t>A 25646-2025</t>
        </is>
      </c>
      <c r="B285" s="1" t="n">
        <v>45803.60725694444</v>
      </c>
      <c r="C285" s="1" t="n">
        <v>45998</v>
      </c>
      <c r="D285" t="inlineStr">
        <is>
          <t>DALARNAS LÄN</t>
        </is>
      </c>
      <c r="E285" t="inlineStr">
        <is>
          <t>AVESTA</t>
        </is>
      </c>
      <c r="G285" t="n">
        <v>7.3</v>
      </c>
      <c r="H285" t="n">
        <v>0</v>
      </c>
      <c r="I285" t="n">
        <v>0</v>
      </c>
      <c r="J285" t="n">
        <v>0</v>
      </c>
      <c r="K285" t="n">
        <v>0</v>
      </c>
      <c r="L285" t="n">
        <v>0</v>
      </c>
      <c r="M285" t="n">
        <v>0</v>
      </c>
      <c r="N285" t="n">
        <v>0</v>
      </c>
      <c r="O285" t="n">
        <v>0</v>
      </c>
      <c r="P285" t="n">
        <v>0</v>
      </c>
      <c r="Q285" t="n">
        <v>0</v>
      </c>
      <c r="R285" s="2" t="inlineStr"/>
    </row>
    <row r="286" ht="15" customHeight="1">
      <c r="A286" t="inlineStr">
        <is>
          <t>A 58165-2025</t>
        </is>
      </c>
      <c r="B286" s="1" t="n">
        <v>45982.70609953703</v>
      </c>
      <c r="C286" s="1" t="n">
        <v>45998</v>
      </c>
      <c r="D286" t="inlineStr">
        <is>
          <t>DALARNAS LÄN</t>
        </is>
      </c>
      <c r="E286" t="inlineStr">
        <is>
          <t>AVESTA</t>
        </is>
      </c>
      <c r="G286" t="n">
        <v>2.6</v>
      </c>
      <c r="H286" t="n">
        <v>0</v>
      </c>
      <c r="I286" t="n">
        <v>0</v>
      </c>
      <c r="J286" t="n">
        <v>0</v>
      </c>
      <c r="K286" t="n">
        <v>0</v>
      </c>
      <c r="L286" t="n">
        <v>0</v>
      </c>
      <c r="M286" t="n">
        <v>0</v>
      </c>
      <c r="N286" t="n">
        <v>0</v>
      </c>
      <c r="O286" t="n">
        <v>0</v>
      </c>
      <c r="P286" t="n">
        <v>0</v>
      </c>
      <c r="Q286" t="n">
        <v>0</v>
      </c>
      <c r="R286" s="2" t="inlineStr"/>
    </row>
    <row r="287" ht="15" customHeight="1">
      <c r="A287" t="inlineStr">
        <is>
          <t>A 25665-2025</t>
        </is>
      </c>
      <c r="B287" s="1" t="n">
        <v>45803.62076388889</v>
      </c>
      <c r="C287" s="1" t="n">
        <v>45998</v>
      </c>
      <c r="D287" t="inlineStr">
        <is>
          <t>DALARNAS LÄN</t>
        </is>
      </c>
      <c r="E287" t="inlineStr">
        <is>
          <t>AVESTA</t>
        </is>
      </c>
      <c r="G287" t="n">
        <v>1.5</v>
      </c>
      <c r="H287" t="n">
        <v>0</v>
      </c>
      <c r="I287" t="n">
        <v>0</v>
      </c>
      <c r="J287" t="n">
        <v>0</v>
      </c>
      <c r="K287" t="n">
        <v>0</v>
      </c>
      <c r="L287" t="n">
        <v>0</v>
      </c>
      <c r="M287" t="n">
        <v>0</v>
      </c>
      <c r="N287" t="n">
        <v>0</v>
      </c>
      <c r="O287" t="n">
        <v>0</v>
      </c>
      <c r="P287" t="n">
        <v>0</v>
      </c>
      <c r="Q287" t="n">
        <v>0</v>
      </c>
      <c r="R287" s="2" t="inlineStr"/>
    </row>
    <row r="288" ht="15" customHeight="1">
      <c r="A288" t="inlineStr">
        <is>
          <t>A 25658-2025</t>
        </is>
      </c>
      <c r="B288" s="1" t="n">
        <v>45803.61549768518</v>
      </c>
      <c r="C288" s="1" t="n">
        <v>45998</v>
      </c>
      <c r="D288" t="inlineStr">
        <is>
          <t>DALARNAS LÄN</t>
        </is>
      </c>
      <c r="E288" t="inlineStr">
        <is>
          <t>AVESTA</t>
        </is>
      </c>
      <c r="G288" t="n">
        <v>0.7</v>
      </c>
      <c r="H288" t="n">
        <v>0</v>
      </c>
      <c r="I288" t="n">
        <v>0</v>
      </c>
      <c r="J288" t="n">
        <v>0</v>
      </c>
      <c r="K288" t="n">
        <v>0</v>
      </c>
      <c r="L288" t="n">
        <v>0</v>
      </c>
      <c r="M288" t="n">
        <v>0</v>
      </c>
      <c r="N288" t="n">
        <v>0</v>
      </c>
      <c r="O288" t="n">
        <v>0</v>
      </c>
      <c r="P288" t="n">
        <v>0</v>
      </c>
      <c r="Q288" t="n">
        <v>0</v>
      </c>
      <c r="R288" s="2" t="inlineStr"/>
    </row>
    <row r="289" ht="15" customHeight="1">
      <c r="A289" t="inlineStr">
        <is>
          <t>A 61657-2023</t>
        </is>
      </c>
      <c r="B289" s="1" t="n">
        <v>45265</v>
      </c>
      <c r="C289" s="1" t="n">
        <v>45998</v>
      </c>
      <c r="D289" t="inlineStr">
        <is>
          <t>DALARNAS LÄN</t>
        </is>
      </c>
      <c r="E289" t="inlineStr">
        <is>
          <t>AVESTA</t>
        </is>
      </c>
      <c r="G289" t="n">
        <v>7.6</v>
      </c>
      <c r="H289" t="n">
        <v>0</v>
      </c>
      <c r="I289" t="n">
        <v>0</v>
      </c>
      <c r="J289" t="n">
        <v>0</v>
      </c>
      <c r="K289" t="n">
        <v>0</v>
      </c>
      <c r="L289" t="n">
        <v>0</v>
      </c>
      <c r="M289" t="n">
        <v>0</v>
      </c>
      <c r="N289" t="n">
        <v>0</v>
      </c>
      <c r="O289" t="n">
        <v>0</v>
      </c>
      <c r="P289" t="n">
        <v>0</v>
      </c>
      <c r="Q289" t="n">
        <v>0</v>
      </c>
      <c r="R289" s="2" t="inlineStr"/>
    </row>
    <row r="290" ht="15" customHeight="1">
      <c r="A290" t="inlineStr">
        <is>
          <t>A 25882-2025</t>
        </is>
      </c>
      <c r="B290" s="1" t="n">
        <v>45804.49783564815</v>
      </c>
      <c r="C290" s="1" t="n">
        <v>45998</v>
      </c>
      <c r="D290" t="inlineStr">
        <is>
          <t>DALARNAS LÄN</t>
        </is>
      </c>
      <c r="E290" t="inlineStr">
        <is>
          <t>AVESTA</t>
        </is>
      </c>
      <c r="G290" t="n">
        <v>0.6</v>
      </c>
      <c r="H290" t="n">
        <v>0</v>
      </c>
      <c r="I290" t="n">
        <v>0</v>
      </c>
      <c r="J290" t="n">
        <v>0</v>
      </c>
      <c r="K290" t="n">
        <v>0</v>
      </c>
      <c r="L290" t="n">
        <v>0</v>
      </c>
      <c r="M290" t="n">
        <v>0</v>
      </c>
      <c r="N290" t="n">
        <v>0</v>
      </c>
      <c r="O290" t="n">
        <v>0</v>
      </c>
      <c r="P290" t="n">
        <v>0</v>
      </c>
      <c r="Q290" t="n">
        <v>0</v>
      </c>
      <c r="R290" s="2" t="inlineStr"/>
    </row>
    <row r="291" ht="15" customHeight="1">
      <c r="A291" t="inlineStr">
        <is>
          <t>A 49678-2025</t>
        </is>
      </c>
      <c r="B291" s="1" t="n">
        <v>45939.64701388889</v>
      </c>
      <c r="C291" s="1" t="n">
        <v>45998</v>
      </c>
      <c r="D291" t="inlineStr">
        <is>
          <t>DALARNAS LÄN</t>
        </is>
      </c>
      <c r="E291" t="inlineStr">
        <is>
          <t>AVESTA</t>
        </is>
      </c>
      <c r="G291" t="n">
        <v>2.2</v>
      </c>
      <c r="H291" t="n">
        <v>0</v>
      </c>
      <c r="I291" t="n">
        <v>0</v>
      </c>
      <c r="J291" t="n">
        <v>0</v>
      </c>
      <c r="K291" t="n">
        <v>0</v>
      </c>
      <c r="L291" t="n">
        <v>0</v>
      </c>
      <c r="M291" t="n">
        <v>0</v>
      </c>
      <c r="N291" t="n">
        <v>0</v>
      </c>
      <c r="O291" t="n">
        <v>0</v>
      </c>
      <c r="P291" t="n">
        <v>0</v>
      </c>
      <c r="Q291" t="n">
        <v>0</v>
      </c>
      <c r="R291" s="2" t="inlineStr"/>
    </row>
    <row r="292" ht="15" customHeight="1">
      <c r="A292" t="inlineStr">
        <is>
          <t>A 44066-2025</t>
        </is>
      </c>
      <c r="B292" s="1" t="n">
        <v>45915</v>
      </c>
      <c r="C292" s="1" t="n">
        <v>45998</v>
      </c>
      <c r="D292" t="inlineStr">
        <is>
          <t>DALARNAS LÄN</t>
        </is>
      </c>
      <c r="E292" t="inlineStr">
        <is>
          <t>AVESTA</t>
        </is>
      </c>
      <c r="G292" t="n">
        <v>1.6</v>
      </c>
      <c r="H292" t="n">
        <v>0</v>
      </c>
      <c r="I292" t="n">
        <v>0</v>
      </c>
      <c r="J292" t="n">
        <v>0</v>
      </c>
      <c r="K292" t="n">
        <v>0</v>
      </c>
      <c r="L292" t="n">
        <v>0</v>
      </c>
      <c r="M292" t="n">
        <v>0</v>
      </c>
      <c r="N292" t="n">
        <v>0</v>
      </c>
      <c r="O292" t="n">
        <v>0</v>
      </c>
      <c r="P292" t="n">
        <v>0</v>
      </c>
      <c r="Q292" t="n">
        <v>0</v>
      </c>
      <c r="R292" s="2" t="inlineStr"/>
    </row>
    <row r="293" ht="15" customHeight="1">
      <c r="A293" t="inlineStr">
        <is>
          <t>A 49939-2025</t>
        </is>
      </c>
      <c r="B293" s="1" t="n">
        <v>45939</v>
      </c>
      <c r="C293" s="1" t="n">
        <v>45998</v>
      </c>
      <c r="D293" t="inlineStr">
        <is>
          <t>DALARNAS LÄN</t>
        </is>
      </c>
      <c r="E293" t="inlineStr">
        <is>
          <t>AVESTA</t>
        </is>
      </c>
      <c r="G293" t="n">
        <v>6.3</v>
      </c>
      <c r="H293" t="n">
        <v>0</v>
      </c>
      <c r="I293" t="n">
        <v>0</v>
      </c>
      <c r="J293" t="n">
        <v>0</v>
      </c>
      <c r="K293" t="n">
        <v>0</v>
      </c>
      <c r="L293" t="n">
        <v>0</v>
      </c>
      <c r="M293" t="n">
        <v>0</v>
      </c>
      <c r="N293" t="n">
        <v>0</v>
      </c>
      <c r="O293" t="n">
        <v>0</v>
      </c>
      <c r="P293" t="n">
        <v>0</v>
      </c>
      <c r="Q293" t="n">
        <v>0</v>
      </c>
      <c r="R293" s="2" t="inlineStr"/>
    </row>
    <row r="294" ht="15" customHeight="1">
      <c r="A294" t="inlineStr">
        <is>
          <t>A 59679-2024</t>
        </is>
      </c>
      <c r="B294" s="1" t="n">
        <v>45639.39581018518</v>
      </c>
      <c r="C294" s="1" t="n">
        <v>45998</v>
      </c>
      <c r="D294" t="inlineStr">
        <is>
          <t>DALARNAS LÄN</t>
        </is>
      </c>
      <c r="E294" t="inlineStr">
        <is>
          <t>AVESTA</t>
        </is>
      </c>
      <c r="G294" t="n">
        <v>1.1</v>
      </c>
      <c r="H294" t="n">
        <v>0</v>
      </c>
      <c r="I294" t="n">
        <v>0</v>
      </c>
      <c r="J294" t="n">
        <v>0</v>
      </c>
      <c r="K294" t="n">
        <v>0</v>
      </c>
      <c r="L294" t="n">
        <v>0</v>
      </c>
      <c r="M294" t="n">
        <v>0</v>
      </c>
      <c r="N294" t="n">
        <v>0</v>
      </c>
      <c r="O294" t="n">
        <v>0</v>
      </c>
      <c r="P294" t="n">
        <v>0</v>
      </c>
      <c r="Q294" t="n">
        <v>0</v>
      </c>
      <c r="R294" s="2" t="inlineStr"/>
    </row>
    <row r="295" ht="15" customHeight="1">
      <c r="A295" t="inlineStr">
        <is>
          <t>A 44812-2025</t>
        </is>
      </c>
      <c r="B295" s="1" t="n">
        <v>45918</v>
      </c>
      <c r="C295" s="1" t="n">
        <v>45998</v>
      </c>
      <c r="D295" t="inlineStr">
        <is>
          <t>DALARNAS LÄN</t>
        </is>
      </c>
      <c r="E295" t="inlineStr">
        <is>
          <t>AVESTA</t>
        </is>
      </c>
      <c r="G295" t="n">
        <v>2.2</v>
      </c>
      <c r="H295" t="n">
        <v>0</v>
      </c>
      <c r="I295" t="n">
        <v>0</v>
      </c>
      <c r="J295" t="n">
        <v>0</v>
      </c>
      <c r="K295" t="n">
        <v>0</v>
      </c>
      <c r="L295" t="n">
        <v>0</v>
      </c>
      <c r="M295" t="n">
        <v>0</v>
      </c>
      <c r="N295" t="n">
        <v>0</v>
      </c>
      <c r="O295" t="n">
        <v>0</v>
      </c>
      <c r="P295" t="n">
        <v>0</v>
      </c>
      <c r="Q295" t="n">
        <v>0</v>
      </c>
      <c r="R295" s="2" t="inlineStr"/>
    </row>
    <row r="296" ht="15" customHeight="1">
      <c r="A296" t="inlineStr">
        <is>
          <t>A 26485-2025</t>
        </is>
      </c>
      <c r="B296" s="1" t="n">
        <v>45807.47407407407</v>
      </c>
      <c r="C296" s="1" t="n">
        <v>45998</v>
      </c>
      <c r="D296" t="inlineStr">
        <is>
          <t>DALARNAS LÄN</t>
        </is>
      </c>
      <c r="E296" t="inlineStr">
        <is>
          <t>AVESTA</t>
        </is>
      </c>
      <c r="G296" t="n">
        <v>1.1</v>
      </c>
      <c r="H296" t="n">
        <v>0</v>
      </c>
      <c r="I296" t="n">
        <v>0</v>
      </c>
      <c r="J296" t="n">
        <v>0</v>
      </c>
      <c r="K296" t="n">
        <v>0</v>
      </c>
      <c r="L296" t="n">
        <v>0</v>
      </c>
      <c r="M296" t="n">
        <v>0</v>
      </c>
      <c r="N296" t="n">
        <v>0</v>
      </c>
      <c r="O296" t="n">
        <v>0</v>
      </c>
      <c r="P296" t="n">
        <v>0</v>
      </c>
      <c r="Q296" t="n">
        <v>0</v>
      </c>
      <c r="R296" s="2" t="inlineStr"/>
    </row>
    <row r="297" ht="15" customHeight="1">
      <c r="A297" t="inlineStr">
        <is>
          <t>A 50237-2025</t>
        </is>
      </c>
      <c r="B297" s="1" t="n">
        <v>45943.78372685185</v>
      </c>
      <c r="C297" s="1" t="n">
        <v>45998</v>
      </c>
      <c r="D297" t="inlineStr">
        <is>
          <t>DALARNAS LÄN</t>
        </is>
      </c>
      <c r="E297" t="inlineStr">
        <is>
          <t>AVESTA</t>
        </is>
      </c>
      <c r="G297" t="n">
        <v>3.4</v>
      </c>
      <c r="H297" t="n">
        <v>0</v>
      </c>
      <c r="I297" t="n">
        <v>0</v>
      </c>
      <c r="J297" t="n">
        <v>0</v>
      </c>
      <c r="K297" t="n">
        <v>0</v>
      </c>
      <c r="L297" t="n">
        <v>0</v>
      </c>
      <c r="M297" t="n">
        <v>0</v>
      </c>
      <c r="N297" t="n">
        <v>0</v>
      </c>
      <c r="O297" t="n">
        <v>0</v>
      </c>
      <c r="P297" t="n">
        <v>0</v>
      </c>
      <c r="Q297" t="n">
        <v>0</v>
      </c>
      <c r="R297" s="2" t="inlineStr"/>
    </row>
    <row r="298" ht="15" customHeight="1">
      <c r="A298" t="inlineStr">
        <is>
          <t>A 26483-2025</t>
        </is>
      </c>
      <c r="B298" s="1" t="n">
        <v>45807.47263888889</v>
      </c>
      <c r="C298" s="1" t="n">
        <v>45998</v>
      </c>
      <c r="D298" t="inlineStr">
        <is>
          <t>DALARNAS LÄN</t>
        </is>
      </c>
      <c r="E298" t="inlineStr">
        <is>
          <t>AVESTA</t>
        </is>
      </c>
      <c r="G298" t="n">
        <v>0.5</v>
      </c>
      <c r="H298" t="n">
        <v>0</v>
      </c>
      <c r="I298" t="n">
        <v>0</v>
      </c>
      <c r="J298" t="n">
        <v>0</v>
      </c>
      <c r="K298" t="n">
        <v>0</v>
      </c>
      <c r="L298" t="n">
        <v>0</v>
      </c>
      <c r="M298" t="n">
        <v>0</v>
      </c>
      <c r="N298" t="n">
        <v>0</v>
      </c>
      <c r="O298" t="n">
        <v>0</v>
      </c>
      <c r="P298" t="n">
        <v>0</v>
      </c>
      <c r="Q298" t="n">
        <v>0</v>
      </c>
      <c r="R298" s="2" t="inlineStr"/>
    </row>
    <row r="299" ht="15" customHeight="1">
      <c r="A299" t="inlineStr">
        <is>
          <t>A 41851-2025</t>
        </is>
      </c>
      <c r="B299" s="1" t="n">
        <v>45902.84958333334</v>
      </c>
      <c r="C299" s="1" t="n">
        <v>45998</v>
      </c>
      <c r="D299" t="inlineStr">
        <is>
          <t>DALARNAS LÄN</t>
        </is>
      </c>
      <c r="E299" t="inlineStr">
        <is>
          <t>AVESTA</t>
        </is>
      </c>
      <c r="G299" t="n">
        <v>1.2</v>
      </c>
      <c r="H299" t="n">
        <v>0</v>
      </c>
      <c r="I299" t="n">
        <v>0</v>
      </c>
      <c r="J299" t="n">
        <v>0</v>
      </c>
      <c r="K299" t="n">
        <v>0</v>
      </c>
      <c r="L299" t="n">
        <v>0</v>
      </c>
      <c r="M299" t="n">
        <v>0</v>
      </c>
      <c r="N299" t="n">
        <v>0</v>
      </c>
      <c r="O299" t="n">
        <v>0</v>
      </c>
      <c r="P299" t="n">
        <v>0</v>
      </c>
      <c r="Q299" t="n">
        <v>0</v>
      </c>
      <c r="R299" s="2" t="inlineStr"/>
    </row>
    <row r="300" ht="15" customHeight="1">
      <c r="A300" t="inlineStr">
        <is>
          <t>A 44779-2025</t>
        </is>
      </c>
      <c r="B300" s="1" t="n">
        <v>45917.86349537037</v>
      </c>
      <c r="C300" s="1" t="n">
        <v>45998</v>
      </c>
      <c r="D300" t="inlineStr">
        <is>
          <t>DALARNAS LÄN</t>
        </is>
      </c>
      <c r="E300" t="inlineStr">
        <is>
          <t>AVESTA</t>
        </is>
      </c>
      <c r="G300" t="n">
        <v>2.3</v>
      </c>
      <c r="H300" t="n">
        <v>0</v>
      </c>
      <c r="I300" t="n">
        <v>0</v>
      </c>
      <c r="J300" t="n">
        <v>0</v>
      </c>
      <c r="K300" t="n">
        <v>0</v>
      </c>
      <c r="L300" t="n">
        <v>0</v>
      </c>
      <c r="M300" t="n">
        <v>0</v>
      </c>
      <c r="N300" t="n">
        <v>0</v>
      </c>
      <c r="O300" t="n">
        <v>0</v>
      </c>
      <c r="P300" t="n">
        <v>0</v>
      </c>
      <c r="Q300" t="n">
        <v>0</v>
      </c>
      <c r="R300" s="2" t="inlineStr"/>
    </row>
    <row r="301" ht="15" customHeight="1">
      <c r="A301" t="inlineStr">
        <is>
          <t>A 50238-2025</t>
        </is>
      </c>
      <c r="B301" s="1" t="n">
        <v>45943.78539351852</v>
      </c>
      <c r="C301" s="1" t="n">
        <v>45998</v>
      </c>
      <c r="D301" t="inlineStr">
        <is>
          <t>DALARNAS LÄN</t>
        </is>
      </c>
      <c r="E301" t="inlineStr">
        <is>
          <t>AVESTA</t>
        </is>
      </c>
      <c r="G301" t="n">
        <v>0.7</v>
      </c>
      <c r="H301" t="n">
        <v>0</v>
      </c>
      <c r="I301" t="n">
        <v>0</v>
      </c>
      <c r="J301" t="n">
        <v>0</v>
      </c>
      <c r="K301" t="n">
        <v>0</v>
      </c>
      <c r="L301" t="n">
        <v>0</v>
      </c>
      <c r="M301" t="n">
        <v>0</v>
      </c>
      <c r="N301" t="n">
        <v>0</v>
      </c>
      <c r="O301" t="n">
        <v>0</v>
      </c>
      <c r="P301" t="n">
        <v>0</v>
      </c>
      <c r="Q301" t="n">
        <v>0</v>
      </c>
      <c r="R301" s="2" t="inlineStr"/>
    </row>
    <row r="302" ht="15" customHeight="1">
      <c r="A302" t="inlineStr">
        <is>
          <t>A 41850-2025</t>
        </is>
      </c>
      <c r="B302" s="1" t="n">
        <v>45902.84729166667</v>
      </c>
      <c r="C302" s="1" t="n">
        <v>45998</v>
      </c>
      <c r="D302" t="inlineStr">
        <is>
          <t>DALARNAS LÄN</t>
        </is>
      </c>
      <c r="E302" t="inlineStr">
        <is>
          <t>AVESTA</t>
        </is>
      </c>
      <c r="G302" t="n">
        <v>1.1</v>
      </c>
      <c r="H302" t="n">
        <v>0</v>
      </c>
      <c r="I302" t="n">
        <v>0</v>
      </c>
      <c r="J302" t="n">
        <v>0</v>
      </c>
      <c r="K302" t="n">
        <v>0</v>
      </c>
      <c r="L302" t="n">
        <v>0</v>
      </c>
      <c r="M302" t="n">
        <v>0</v>
      </c>
      <c r="N302" t="n">
        <v>0</v>
      </c>
      <c r="O302" t="n">
        <v>0</v>
      </c>
      <c r="P302" t="n">
        <v>0</v>
      </c>
      <c r="Q302" t="n">
        <v>0</v>
      </c>
      <c r="R302" s="2" t="inlineStr"/>
    </row>
    <row r="303" ht="15" customHeight="1">
      <c r="A303" t="inlineStr">
        <is>
          <t>A 45180-2025</t>
        </is>
      </c>
      <c r="B303" s="1" t="n">
        <v>45919.53</v>
      </c>
      <c r="C303" s="1" t="n">
        <v>45998</v>
      </c>
      <c r="D303" t="inlineStr">
        <is>
          <t>DALARNAS LÄN</t>
        </is>
      </c>
      <c r="E303" t="inlineStr">
        <is>
          <t>AVESTA</t>
        </is>
      </c>
      <c r="F303" t="inlineStr">
        <is>
          <t>Sveaskog</t>
        </is>
      </c>
      <c r="G303" t="n">
        <v>3.1</v>
      </c>
      <c r="H303" t="n">
        <v>0</v>
      </c>
      <c r="I303" t="n">
        <v>0</v>
      </c>
      <c r="J303" t="n">
        <v>0</v>
      </c>
      <c r="K303" t="n">
        <v>0</v>
      </c>
      <c r="L303" t="n">
        <v>0</v>
      </c>
      <c r="M303" t="n">
        <v>0</v>
      </c>
      <c r="N303" t="n">
        <v>0</v>
      </c>
      <c r="O303" t="n">
        <v>0</v>
      </c>
      <c r="P303" t="n">
        <v>0</v>
      </c>
      <c r="Q303" t="n">
        <v>0</v>
      </c>
      <c r="R303" s="2" t="inlineStr"/>
    </row>
    <row r="304" ht="15" customHeight="1">
      <c r="A304" t="inlineStr">
        <is>
          <t>A 50208-2025</t>
        </is>
      </c>
      <c r="B304" s="1" t="n">
        <v>45943.6643287037</v>
      </c>
      <c r="C304" s="1" t="n">
        <v>45998</v>
      </c>
      <c r="D304" t="inlineStr">
        <is>
          <t>DALARNAS LÄN</t>
        </is>
      </c>
      <c r="E304" t="inlineStr">
        <is>
          <t>AVESTA</t>
        </is>
      </c>
      <c r="G304" t="n">
        <v>2.5</v>
      </c>
      <c r="H304" t="n">
        <v>0</v>
      </c>
      <c r="I304" t="n">
        <v>0</v>
      </c>
      <c r="J304" t="n">
        <v>0</v>
      </c>
      <c r="K304" t="n">
        <v>0</v>
      </c>
      <c r="L304" t="n">
        <v>0</v>
      </c>
      <c r="M304" t="n">
        <v>0</v>
      </c>
      <c r="N304" t="n">
        <v>0</v>
      </c>
      <c r="O304" t="n">
        <v>0</v>
      </c>
      <c r="P304" t="n">
        <v>0</v>
      </c>
      <c r="Q304" t="n">
        <v>0</v>
      </c>
      <c r="R304" s="2" t="inlineStr"/>
    </row>
    <row r="305" ht="15" customHeight="1">
      <c r="A305" t="inlineStr">
        <is>
          <t>A 54278-2025</t>
        </is>
      </c>
      <c r="B305" s="1" t="n">
        <v>45964</v>
      </c>
      <c r="C305" s="1" t="n">
        <v>45998</v>
      </c>
      <c r="D305" t="inlineStr">
        <is>
          <t>DALARNAS LÄN</t>
        </is>
      </c>
      <c r="E305" t="inlineStr">
        <is>
          <t>AVESTA</t>
        </is>
      </c>
      <c r="G305" t="n">
        <v>1</v>
      </c>
      <c r="H305" t="n">
        <v>0</v>
      </c>
      <c r="I305" t="n">
        <v>0</v>
      </c>
      <c r="J305" t="n">
        <v>0</v>
      </c>
      <c r="K305" t="n">
        <v>0</v>
      </c>
      <c r="L305" t="n">
        <v>0</v>
      </c>
      <c r="M305" t="n">
        <v>0</v>
      </c>
      <c r="N305" t="n">
        <v>0</v>
      </c>
      <c r="O305" t="n">
        <v>0</v>
      </c>
      <c r="P305" t="n">
        <v>0</v>
      </c>
      <c r="Q305" t="n">
        <v>0</v>
      </c>
      <c r="R305" s="2" t="inlineStr"/>
    </row>
    <row r="306" ht="15" customHeight="1">
      <c r="A306" t="inlineStr">
        <is>
          <t>A 45260-2025</t>
        </is>
      </c>
      <c r="B306" s="1" t="n">
        <v>45919.63253472222</v>
      </c>
      <c r="C306" s="1" t="n">
        <v>45998</v>
      </c>
      <c r="D306" t="inlineStr">
        <is>
          <t>DALARNAS LÄN</t>
        </is>
      </c>
      <c r="E306" t="inlineStr">
        <is>
          <t>AVESTA</t>
        </is>
      </c>
      <c r="G306" t="n">
        <v>3.2</v>
      </c>
      <c r="H306" t="n">
        <v>0</v>
      </c>
      <c r="I306" t="n">
        <v>0</v>
      </c>
      <c r="J306" t="n">
        <v>0</v>
      </c>
      <c r="K306" t="n">
        <v>0</v>
      </c>
      <c r="L306" t="n">
        <v>0</v>
      </c>
      <c r="M306" t="n">
        <v>0</v>
      </c>
      <c r="N306" t="n">
        <v>0</v>
      </c>
      <c r="O306" t="n">
        <v>0</v>
      </c>
      <c r="P306" t="n">
        <v>0</v>
      </c>
      <c r="Q306" t="n">
        <v>0</v>
      </c>
      <c r="R306" s="2" t="inlineStr"/>
    </row>
    <row r="307" ht="15" customHeight="1">
      <c r="A307" t="inlineStr">
        <is>
          <t>A 45282-2025</t>
        </is>
      </c>
      <c r="B307" s="1" t="n">
        <v>45919.82200231482</v>
      </c>
      <c r="C307" s="1" t="n">
        <v>45998</v>
      </c>
      <c r="D307" t="inlineStr">
        <is>
          <t>DALARNAS LÄN</t>
        </is>
      </c>
      <c r="E307" t="inlineStr">
        <is>
          <t>AVESTA</t>
        </is>
      </c>
      <c r="G307" t="n">
        <v>0.9</v>
      </c>
      <c r="H307" t="n">
        <v>0</v>
      </c>
      <c r="I307" t="n">
        <v>0</v>
      </c>
      <c r="J307" t="n">
        <v>0</v>
      </c>
      <c r="K307" t="n">
        <v>0</v>
      </c>
      <c r="L307" t="n">
        <v>0</v>
      </c>
      <c r="M307" t="n">
        <v>0</v>
      </c>
      <c r="N307" t="n">
        <v>0</v>
      </c>
      <c r="O307" t="n">
        <v>0</v>
      </c>
      <c r="P307" t="n">
        <v>0</v>
      </c>
      <c r="Q307" t="n">
        <v>0</v>
      </c>
      <c r="R307" s="2" t="inlineStr"/>
    </row>
    <row r="308" ht="15" customHeight="1">
      <c r="A308" t="inlineStr">
        <is>
          <t>A 45503-2025</t>
        </is>
      </c>
      <c r="B308" s="1" t="n">
        <v>45922.57319444444</v>
      </c>
      <c r="C308" s="1" t="n">
        <v>45998</v>
      </c>
      <c r="D308" t="inlineStr">
        <is>
          <t>DALARNAS LÄN</t>
        </is>
      </c>
      <c r="E308" t="inlineStr">
        <is>
          <t>AVESTA</t>
        </is>
      </c>
      <c r="G308" t="n">
        <v>2.4</v>
      </c>
      <c r="H308" t="n">
        <v>0</v>
      </c>
      <c r="I308" t="n">
        <v>0</v>
      </c>
      <c r="J308" t="n">
        <v>0</v>
      </c>
      <c r="K308" t="n">
        <v>0</v>
      </c>
      <c r="L308" t="n">
        <v>0</v>
      </c>
      <c r="M308" t="n">
        <v>0</v>
      </c>
      <c r="N308" t="n">
        <v>0</v>
      </c>
      <c r="O308" t="n">
        <v>0</v>
      </c>
      <c r="P308" t="n">
        <v>0</v>
      </c>
      <c r="Q308" t="n">
        <v>0</v>
      </c>
      <c r="R308" s="2" t="inlineStr"/>
    </row>
    <row r="309" ht="15" customHeight="1">
      <c r="A309" t="inlineStr">
        <is>
          <t>A 41334-2025</t>
        </is>
      </c>
      <c r="B309" s="1" t="n">
        <v>45899.36081018519</v>
      </c>
      <c r="C309" s="1" t="n">
        <v>45998</v>
      </c>
      <c r="D309" t="inlineStr">
        <is>
          <t>DALARNAS LÄN</t>
        </is>
      </c>
      <c r="E309" t="inlineStr">
        <is>
          <t>AVESTA</t>
        </is>
      </c>
      <c r="F309" t="inlineStr">
        <is>
          <t>Sveaskog</t>
        </is>
      </c>
      <c r="G309" t="n">
        <v>9.9</v>
      </c>
      <c r="H309" t="n">
        <v>0</v>
      </c>
      <c r="I309" t="n">
        <v>0</v>
      </c>
      <c r="J309" t="n">
        <v>0</v>
      </c>
      <c r="K309" t="n">
        <v>0</v>
      </c>
      <c r="L309" t="n">
        <v>0</v>
      </c>
      <c r="M309" t="n">
        <v>0</v>
      </c>
      <c r="N309" t="n">
        <v>0</v>
      </c>
      <c r="O309" t="n">
        <v>0</v>
      </c>
      <c r="P309" t="n">
        <v>0</v>
      </c>
      <c r="Q309" t="n">
        <v>0</v>
      </c>
      <c r="R309" s="2" t="inlineStr"/>
    </row>
    <row r="310" ht="15" customHeight="1">
      <c r="A310" t="inlineStr">
        <is>
          <t>A 28336-2025</t>
        </is>
      </c>
      <c r="B310" s="1" t="n">
        <v>45818.66671296296</v>
      </c>
      <c r="C310" s="1" t="n">
        <v>45998</v>
      </c>
      <c r="D310" t="inlineStr">
        <is>
          <t>DALARNAS LÄN</t>
        </is>
      </c>
      <c r="E310" t="inlineStr">
        <is>
          <t>AVESTA</t>
        </is>
      </c>
      <c r="G310" t="n">
        <v>1.6</v>
      </c>
      <c r="H310" t="n">
        <v>0</v>
      </c>
      <c r="I310" t="n">
        <v>0</v>
      </c>
      <c r="J310" t="n">
        <v>0</v>
      </c>
      <c r="K310" t="n">
        <v>0</v>
      </c>
      <c r="L310" t="n">
        <v>0</v>
      </c>
      <c r="M310" t="n">
        <v>0</v>
      </c>
      <c r="N310" t="n">
        <v>0</v>
      </c>
      <c r="O310" t="n">
        <v>0</v>
      </c>
      <c r="P310" t="n">
        <v>0</v>
      </c>
      <c r="Q310" t="n">
        <v>0</v>
      </c>
      <c r="R310" s="2" t="inlineStr"/>
    </row>
    <row r="311" ht="15" customHeight="1">
      <c r="A311" t="inlineStr">
        <is>
          <t>A 28087-2025</t>
        </is>
      </c>
      <c r="B311" s="1" t="n">
        <v>45817.75277777778</v>
      </c>
      <c r="C311" s="1" t="n">
        <v>45998</v>
      </c>
      <c r="D311" t="inlineStr">
        <is>
          <t>DALARNAS LÄN</t>
        </is>
      </c>
      <c r="E311" t="inlineStr">
        <is>
          <t>AVESTA</t>
        </is>
      </c>
      <c r="F311" t="inlineStr">
        <is>
          <t>Sveaskog</t>
        </is>
      </c>
      <c r="G311" t="n">
        <v>4.5</v>
      </c>
      <c r="H311" t="n">
        <v>0</v>
      </c>
      <c r="I311" t="n">
        <v>0</v>
      </c>
      <c r="J311" t="n">
        <v>0</v>
      </c>
      <c r="K311" t="n">
        <v>0</v>
      </c>
      <c r="L311" t="n">
        <v>0</v>
      </c>
      <c r="M311" t="n">
        <v>0</v>
      </c>
      <c r="N311" t="n">
        <v>0</v>
      </c>
      <c r="O311" t="n">
        <v>0</v>
      </c>
      <c r="P311" t="n">
        <v>0</v>
      </c>
      <c r="Q311" t="n">
        <v>0</v>
      </c>
      <c r="R311" s="2" t="inlineStr"/>
    </row>
    <row r="312" ht="15" customHeight="1">
      <c r="A312" t="inlineStr">
        <is>
          <t>A 27807-2025</t>
        </is>
      </c>
      <c r="B312" s="1" t="n">
        <v>45817.30672453704</v>
      </c>
      <c r="C312" s="1" t="n">
        <v>45998</v>
      </c>
      <c r="D312" t="inlineStr">
        <is>
          <t>DALARNAS LÄN</t>
        </is>
      </c>
      <c r="E312" t="inlineStr">
        <is>
          <t>AVESTA</t>
        </is>
      </c>
      <c r="G312" t="n">
        <v>2.7</v>
      </c>
      <c r="H312" t="n">
        <v>0</v>
      </c>
      <c r="I312" t="n">
        <v>0</v>
      </c>
      <c r="J312" t="n">
        <v>0</v>
      </c>
      <c r="K312" t="n">
        <v>0</v>
      </c>
      <c r="L312" t="n">
        <v>0</v>
      </c>
      <c r="M312" t="n">
        <v>0</v>
      </c>
      <c r="N312" t="n">
        <v>0</v>
      </c>
      <c r="O312" t="n">
        <v>0</v>
      </c>
      <c r="P312" t="n">
        <v>0</v>
      </c>
      <c r="Q312" t="n">
        <v>0</v>
      </c>
      <c r="R312" s="2" t="inlineStr"/>
    </row>
    <row r="313" ht="15" customHeight="1">
      <c r="A313" t="inlineStr">
        <is>
          <t>A 50440-2025</t>
        </is>
      </c>
      <c r="B313" s="1" t="n">
        <v>45944.82208333333</v>
      </c>
      <c r="C313" s="1" t="n">
        <v>45998</v>
      </c>
      <c r="D313" t="inlineStr">
        <is>
          <t>DALARNAS LÄN</t>
        </is>
      </c>
      <c r="E313" t="inlineStr">
        <is>
          <t>AVESTA</t>
        </is>
      </c>
      <c r="G313" t="n">
        <v>2.1</v>
      </c>
      <c r="H313" t="n">
        <v>0</v>
      </c>
      <c r="I313" t="n">
        <v>0</v>
      </c>
      <c r="J313" t="n">
        <v>0</v>
      </c>
      <c r="K313" t="n">
        <v>0</v>
      </c>
      <c r="L313" t="n">
        <v>0</v>
      </c>
      <c r="M313" t="n">
        <v>0</v>
      </c>
      <c r="N313" t="n">
        <v>0</v>
      </c>
      <c r="O313" t="n">
        <v>0</v>
      </c>
      <c r="P313" t="n">
        <v>0</v>
      </c>
      <c r="Q313" t="n">
        <v>0</v>
      </c>
      <c r="R313" s="2" t="inlineStr"/>
    </row>
    <row r="314" ht="15" customHeight="1">
      <c r="A314" t="inlineStr">
        <is>
          <t>A 28361-2025</t>
        </is>
      </c>
      <c r="B314" s="1" t="n">
        <v>45818.81280092592</v>
      </c>
      <c r="C314" s="1" t="n">
        <v>45998</v>
      </c>
      <c r="D314" t="inlineStr">
        <is>
          <t>DALARNAS LÄN</t>
        </is>
      </c>
      <c r="E314" t="inlineStr">
        <is>
          <t>AVESTA</t>
        </is>
      </c>
      <c r="G314" t="n">
        <v>5</v>
      </c>
      <c r="H314" t="n">
        <v>0</v>
      </c>
      <c r="I314" t="n">
        <v>0</v>
      </c>
      <c r="J314" t="n">
        <v>0</v>
      </c>
      <c r="K314" t="n">
        <v>0</v>
      </c>
      <c r="L314" t="n">
        <v>0</v>
      </c>
      <c r="M314" t="n">
        <v>0</v>
      </c>
      <c r="N314" t="n">
        <v>0</v>
      </c>
      <c r="O314" t="n">
        <v>0</v>
      </c>
      <c r="P314" t="n">
        <v>0</v>
      </c>
      <c r="Q314" t="n">
        <v>0</v>
      </c>
      <c r="R314" s="2" t="inlineStr"/>
    </row>
    <row r="315" ht="15" customHeight="1">
      <c r="A315" t="inlineStr">
        <is>
          <t>A 50836-2025</t>
        </is>
      </c>
      <c r="B315" s="1" t="n">
        <v>45946.55805555556</v>
      </c>
      <c r="C315" s="1" t="n">
        <v>45998</v>
      </c>
      <c r="D315" t="inlineStr">
        <is>
          <t>DALARNAS LÄN</t>
        </is>
      </c>
      <c r="E315" t="inlineStr">
        <is>
          <t>AVESTA</t>
        </is>
      </c>
      <c r="G315" t="n">
        <v>1.3</v>
      </c>
      <c r="H315" t="n">
        <v>0</v>
      </c>
      <c r="I315" t="n">
        <v>0</v>
      </c>
      <c r="J315" t="n">
        <v>0</v>
      </c>
      <c r="K315" t="n">
        <v>0</v>
      </c>
      <c r="L315" t="n">
        <v>0</v>
      </c>
      <c r="M315" t="n">
        <v>0</v>
      </c>
      <c r="N315" t="n">
        <v>0</v>
      </c>
      <c r="O315" t="n">
        <v>0</v>
      </c>
      <c r="P315" t="n">
        <v>0</v>
      </c>
      <c r="Q315" t="n">
        <v>0</v>
      </c>
      <c r="R315" s="2" t="inlineStr"/>
    </row>
    <row r="316" ht="15" customHeight="1">
      <c r="A316" t="inlineStr">
        <is>
          <t>A 25115-2025</t>
        </is>
      </c>
      <c r="B316" s="1" t="n">
        <v>45800.36340277778</v>
      </c>
      <c r="C316" s="1" t="n">
        <v>45998</v>
      </c>
      <c r="D316" t="inlineStr">
        <is>
          <t>DALARNAS LÄN</t>
        </is>
      </c>
      <c r="E316" t="inlineStr">
        <is>
          <t>AVESTA</t>
        </is>
      </c>
      <c r="F316" t="inlineStr">
        <is>
          <t>Sveaskog</t>
        </is>
      </c>
      <c r="G316" t="n">
        <v>5.2</v>
      </c>
      <c r="H316" t="n">
        <v>0</v>
      </c>
      <c r="I316" t="n">
        <v>0</v>
      </c>
      <c r="J316" t="n">
        <v>0</v>
      </c>
      <c r="K316" t="n">
        <v>0</v>
      </c>
      <c r="L316" t="n">
        <v>0</v>
      </c>
      <c r="M316" t="n">
        <v>0</v>
      </c>
      <c r="N316" t="n">
        <v>0</v>
      </c>
      <c r="O316" t="n">
        <v>0</v>
      </c>
      <c r="P316" t="n">
        <v>0</v>
      </c>
      <c r="Q316" t="n">
        <v>0</v>
      </c>
      <c r="R316" s="2" t="inlineStr"/>
    </row>
    <row r="317" ht="15" customHeight="1">
      <c r="A317" t="inlineStr">
        <is>
          <t>A 49953-2025</t>
        </is>
      </c>
      <c r="B317" s="1" t="n">
        <v>45940</v>
      </c>
      <c r="C317" s="1" t="n">
        <v>45998</v>
      </c>
      <c r="D317" t="inlineStr">
        <is>
          <t>DALARNAS LÄN</t>
        </is>
      </c>
      <c r="E317" t="inlineStr">
        <is>
          <t>AVESTA</t>
        </is>
      </c>
      <c r="G317" t="n">
        <v>7.7</v>
      </c>
      <c r="H317" t="n">
        <v>0</v>
      </c>
      <c r="I317" t="n">
        <v>0</v>
      </c>
      <c r="J317" t="n">
        <v>0</v>
      </c>
      <c r="K317" t="n">
        <v>0</v>
      </c>
      <c r="L317" t="n">
        <v>0</v>
      </c>
      <c r="M317" t="n">
        <v>0</v>
      </c>
      <c r="N317" t="n">
        <v>0</v>
      </c>
      <c r="O317" t="n">
        <v>0</v>
      </c>
      <c r="P317" t="n">
        <v>0</v>
      </c>
      <c r="Q317" t="n">
        <v>0</v>
      </c>
      <c r="R317" s="2" t="inlineStr"/>
    </row>
    <row r="318" ht="15" customHeight="1">
      <c r="A318" t="inlineStr">
        <is>
          <t>A 46327-2025</t>
        </is>
      </c>
      <c r="B318" s="1" t="n">
        <v>45925.45247685185</v>
      </c>
      <c r="C318" s="1" t="n">
        <v>45998</v>
      </c>
      <c r="D318" t="inlineStr">
        <is>
          <t>DALARNAS LÄN</t>
        </is>
      </c>
      <c r="E318" t="inlineStr">
        <is>
          <t>AVESTA</t>
        </is>
      </c>
      <c r="G318" t="n">
        <v>1.5</v>
      </c>
      <c r="H318" t="n">
        <v>0</v>
      </c>
      <c r="I318" t="n">
        <v>0</v>
      </c>
      <c r="J318" t="n">
        <v>0</v>
      </c>
      <c r="K318" t="n">
        <v>0</v>
      </c>
      <c r="L318" t="n">
        <v>0</v>
      </c>
      <c r="M318" t="n">
        <v>0</v>
      </c>
      <c r="N318" t="n">
        <v>0</v>
      </c>
      <c r="O318" t="n">
        <v>0</v>
      </c>
      <c r="P318" t="n">
        <v>0</v>
      </c>
      <c r="Q318" t="n">
        <v>0</v>
      </c>
      <c r="R318" s="2" t="inlineStr"/>
    </row>
    <row r="319" ht="15" customHeight="1">
      <c r="A319" t="inlineStr">
        <is>
          <t>A 54913-2025</t>
        </is>
      </c>
      <c r="B319" s="1" t="n">
        <v>45967.38487268519</v>
      </c>
      <c r="C319" s="1" t="n">
        <v>45998</v>
      </c>
      <c r="D319" t="inlineStr">
        <is>
          <t>DALARNAS LÄN</t>
        </is>
      </c>
      <c r="E319" t="inlineStr">
        <is>
          <t>AVESTA</t>
        </is>
      </c>
      <c r="F319" t="inlineStr">
        <is>
          <t>Sveaskog</t>
        </is>
      </c>
      <c r="G319" t="n">
        <v>2.8</v>
      </c>
      <c r="H319" t="n">
        <v>0</v>
      </c>
      <c r="I319" t="n">
        <v>0</v>
      </c>
      <c r="J319" t="n">
        <v>0</v>
      </c>
      <c r="K319" t="n">
        <v>0</v>
      </c>
      <c r="L319" t="n">
        <v>0</v>
      </c>
      <c r="M319" t="n">
        <v>0</v>
      </c>
      <c r="N319" t="n">
        <v>0</v>
      </c>
      <c r="O319" t="n">
        <v>0</v>
      </c>
      <c r="P319" t="n">
        <v>0</v>
      </c>
      <c r="Q319" t="n">
        <v>0</v>
      </c>
      <c r="R319" s="2" t="inlineStr"/>
    </row>
    <row r="320" ht="15" customHeight="1">
      <c r="A320" t="inlineStr">
        <is>
          <t>A 51231-2025</t>
        </is>
      </c>
      <c r="B320" s="1" t="n">
        <v>45947.67347222222</v>
      </c>
      <c r="C320" s="1" t="n">
        <v>45998</v>
      </c>
      <c r="D320" t="inlineStr">
        <is>
          <t>DALARNAS LÄN</t>
        </is>
      </c>
      <c r="E320" t="inlineStr">
        <is>
          <t>AVESTA</t>
        </is>
      </c>
      <c r="G320" t="n">
        <v>2.9</v>
      </c>
      <c r="H320" t="n">
        <v>0</v>
      </c>
      <c r="I320" t="n">
        <v>0</v>
      </c>
      <c r="J320" t="n">
        <v>0</v>
      </c>
      <c r="K320" t="n">
        <v>0</v>
      </c>
      <c r="L320" t="n">
        <v>0</v>
      </c>
      <c r="M320" t="n">
        <v>0</v>
      </c>
      <c r="N320" t="n">
        <v>0</v>
      </c>
      <c r="O320" t="n">
        <v>0</v>
      </c>
      <c r="P320" t="n">
        <v>0</v>
      </c>
      <c r="Q320" t="n">
        <v>0</v>
      </c>
      <c r="R320" s="2" t="inlineStr"/>
    </row>
    <row r="321" ht="15" customHeight="1">
      <c r="A321" t="inlineStr">
        <is>
          <t>A 51251-2025</t>
        </is>
      </c>
      <c r="B321" s="1" t="n">
        <v>45948.90693287037</v>
      </c>
      <c r="C321" s="1" t="n">
        <v>45998</v>
      </c>
      <c r="D321" t="inlineStr">
        <is>
          <t>DALARNAS LÄN</t>
        </is>
      </c>
      <c r="E321" t="inlineStr">
        <is>
          <t>AVESTA</t>
        </is>
      </c>
      <c r="G321" t="n">
        <v>2.7</v>
      </c>
      <c r="H321" t="n">
        <v>0</v>
      </c>
      <c r="I321" t="n">
        <v>0</v>
      </c>
      <c r="J321" t="n">
        <v>0</v>
      </c>
      <c r="K321" t="n">
        <v>0</v>
      </c>
      <c r="L321" t="n">
        <v>0</v>
      </c>
      <c r="M321" t="n">
        <v>0</v>
      </c>
      <c r="N321" t="n">
        <v>0</v>
      </c>
      <c r="O321" t="n">
        <v>0</v>
      </c>
      <c r="P321" t="n">
        <v>0</v>
      </c>
      <c r="Q321" t="n">
        <v>0</v>
      </c>
      <c r="R321" s="2" t="inlineStr"/>
    </row>
    <row r="322" ht="15" customHeight="1">
      <c r="A322" t="inlineStr">
        <is>
          <t>A 51252-2025</t>
        </is>
      </c>
      <c r="B322" s="1" t="n">
        <v>45948.91340277778</v>
      </c>
      <c r="C322" s="1" t="n">
        <v>45998</v>
      </c>
      <c r="D322" t="inlineStr">
        <is>
          <t>DALARNAS LÄN</t>
        </is>
      </c>
      <c r="E322" t="inlineStr">
        <is>
          <t>AVESTA</t>
        </is>
      </c>
      <c r="G322" t="n">
        <v>2.3</v>
      </c>
      <c r="H322" t="n">
        <v>0</v>
      </c>
      <c r="I322" t="n">
        <v>0</v>
      </c>
      <c r="J322" t="n">
        <v>0</v>
      </c>
      <c r="K322" t="n">
        <v>0</v>
      </c>
      <c r="L322" t="n">
        <v>0</v>
      </c>
      <c r="M322" t="n">
        <v>0</v>
      </c>
      <c r="N322" t="n">
        <v>0</v>
      </c>
      <c r="O322" t="n">
        <v>0</v>
      </c>
      <c r="P322" t="n">
        <v>0</v>
      </c>
      <c r="Q322" t="n">
        <v>0</v>
      </c>
      <c r="R322" s="2" t="inlineStr"/>
    </row>
    <row r="323" ht="15" customHeight="1">
      <c r="A323" t="inlineStr">
        <is>
          <t>A 51253-2025</t>
        </is>
      </c>
      <c r="B323" s="1" t="n">
        <v>45948.91614583333</v>
      </c>
      <c r="C323" s="1" t="n">
        <v>45998</v>
      </c>
      <c r="D323" t="inlineStr">
        <is>
          <t>DALARNAS LÄN</t>
        </is>
      </c>
      <c r="E323" t="inlineStr">
        <is>
          <t>AVESTA</t>
        </is>
      </c>
      <c r="G323" t="n">
        <v>0.4</v>
      </c>
      <c r="H323" t="n">
        <v>0</v>
      </c>
      <c r="I323" t="n">
        <v>0</v>
      </c>
      <c r="J323" t="n">
        <v>0</v>
      </c>
      <c r="K323" t="n">
        <v>0</v>
      </c>
      <c r="L323" t="n">
        <v>0</v>
      </c>
      <c r="M323" t="n">
        <v>0</v>
      </c>
      <c r="N323" t="n">
        <v>0</v>
      </c>
      <c r="O323" t="n">
        <v>0</v>
      </c>
      <c r="P323" t="n">
        <v>0</v>
      </c>
      <c r="Q323" t="n">
        <v>0</v>
      </c>
      <c r="R323" s="2" t="inlineStr"/>
    </row>
    <row r="324" ht="15" customHeight="1">
      <c r="A324" t="inlineStr">
        <is>
          <t>A 30193-2025</t>
        </is>
      </c>
      <c r="B324" s="1" t="n">
        <v>45827.35201388889</v>
      </c>
      <c r="C324" s="1" t="n">
        <v>45998</v>
      </c>
      <c r="D324" t="inlineStr">
        <is>
          <t>DALARNAS LÄN</t>
        </is>
      </c>
      <c r="E324" t="inlineStr">
        <is>
          <t>AVESTA</t>
        </is>
      </c>
      <c r="G324" t="n">
        <v>0.6</v>
      </c>
      <c r="H324" t="n">
        <v>0</v>
      </c>
      <c r="I324" t="n">
        <v>0</v>
      </c>
      <c r="J324" t="n">
        <v>0</v>
      </c>
      <c r="K324" t="n">
        <v>0</v>
      </c>
      <c r="L324" t="n">
        <v>0</v>
      </c>
      <c r="M324" t="n">
        <v>0</v>
      </c>
      <c r="N324" t="n">
        <v>0</v>
      </c>
      <c r="O324" t="n">
        <v>0</v>
      </c>
      <c r="P324" t="n">
        <v>0</v>
      </c>
      <c r="Q324" t="n">
        <v>0</v>
      </c>
      <c r="R324" s="2" t="inlineStr"/>
    </row>
    <row r="325" ht="15" customHeight="1">
      <c r="A325" t="inlineStr">
        <is>
          <t>A 30198-2025</t>
        </is>
      </c>
      <c r="B325" s="1" t="n">
        <v>45827.35545138889</v>
      </c>
      <c r="C325" s="1" t="n">
        <v>45998</v>
      </c>
      <c r="D325" t="inlineStr">
        <is>
          <t>DALARNAS LÄN</t>
        </is>
      </c>
      <c r="E325" t="inlineStr">
        <is>
          <t>AVESTA</t>
        </is>
      </c>
      <c r="G325" t="n">
        <v>0.7</v>
      </c>
      <c r="H325" t="n">
        <v>0</v>
      </c>
      <c r="I325" t="n">
        <v>0</v>
      </c>
      <c r="J325" t="n">
        <v>0</v>
      </c>
      <c r="K325" t="n">
        <v>0</v>
      </c>
      <c r="L325" t="n">
        <v>0</v>
      </c>
      <c r="M325" t="n">
        <v>0</v>
      </c>
      <c r="N325" t="n">
        <v>0</v>
      </c>
      <c r="O325" t="n">
        <v>0</v>
      </c>
      <c r="P325" t="n">
        <v>0</v>
      </c>
      <c r="Q325" t="n">
        <v>0</v>
      </c>
      <c r="R325" s="2" t="inlineStr"/>
    </row>
    <row r="326" ht="15" customHeight="1">
      <c r="A326" t="inlineStr">
        <is>
          <t>A 60182-2025</t>
        </is>
      </c>
      <c r="B326" s="1" t="n">
        <v>45994.47056712963</v>
      </c>
      <c r="C326" s="1" t="n">
        <v>45998</v>
      </c>
      <c r="D326" t="inlineStr">
        <is>
          <t>DALARNAS LÄN</t>
        </is>
      </c>
      <c r="E326" t="inlineStr">
        <is>
          <t>AVESTA</t>
        </is>
      </c>
      <c r="G326" t="n">
        <v>4.4</v>
      </c>
      <c r="H326" t="n">
        <v>0</v>
      </c>
      <c r="I326" t="n">
        <v>0</v>
      </c>
      <c r="J326" t="n">
        <v>0</v>
      </c>
      <c r="K326" t="n">
        <v>0</v>
      </c>
      <c r="L326" t="n">
        <v>0</v>
      </c>
      <c r="M326" t="n">
        <v>0</v>
      </c>
      <c r="N326" t="n">
        <v>0</v>
      </c>
      <c r="O326" t="n">
        <v>0</v>
      </c>
      <c r="P326" t="n">
        <v>0</v>
      </c>
      <c r="Q326" t="n">
        <v>0</v>
      </c>
      <c r="R326" s="2" t="inlineStr"/>
    </row>
    <row r="327" ht="15" customHeight="1">
      <c r="A327" t="inlineStr">
        <is>
          <t>A 51671-2025</t>
        </is>
      </c>
      <c r="B327" s="1" t="n">
        <v>45951.49759259259</v>
      </c>
      <c r="C327" s="1" t="n">
        <v>45998</v>
      </c>
      <c r="D327" t="inlineStr">
        <is>
          <t>DALARNAS LÄN</t>
        </is>
      </c>
      <c r="E327" t="inlineStr">
        <is>
          <t>AVESTA</t>
        </is>
      </c>
      <c r="G327" t="n">
        <v>3.9</v>
      </c>
      <c r="H327" t="n">
        <v>0</v>
      </c>
      <c r="I327" t="n">
        <v>0</v>
      </c>
      <c r="J327" t="n">
        <v>0</v>
      </c>
      <c r="K327" t="n">
        <v>0</v>
      </c>
      <c r="L327" t="n">
        <v>0</v>
      </c>
      <c r="M327" t="n">
        <v>0</v>
      </c>
      <c r="N327" t="n">
        <v>0</v>
      </c>
      <c r="O327" t="n">
        <v>0</v>
      </c>
      <c r="P327" t="n">
        <v>0</v>
      </c>
      <c r="Q327" t="n">
        <v>0</v>
      </c>
      <c r="R327" s="2" t="inlineStr"/>
    </row>
    <row r="328" ht="15" customHeight="1">
      <c r="A328" t="inlineStr">
        <is>
          <t>A 52351-2025</t>
        </is>
      </c>
      <c r="B328" s="1" t="n">
        <v>45953.73898148148</v>
      </c>
      <c r="C328" s="1" t="n">
        <v>45998</v>
      </c>
      <c r="D328" t="inlineStr">
        <is>
          <t>DALARNAS LÄN</t>
        </is>
      </c>
      <c r="E328" t="inlineStr">
        <is>
          <t>AVESTA</t>
        </is>
      </c>
      <c r="G328" t="n">
        <v>1.4</v>
      </c>
      <c r="H328" t="n">
        <v>0</v>
      </c>
      <c r="I328" t="n">
        <v>0</v>
      </c>
      <c r="J328" t="n">
        <v>0</v>
      </c>
      <c r="K328" t="n">
        <v>0</v>
      </c>
      <c r="L328" t="n">
        <v>0</v>
      </c>
      <c r="M328" t="n">
        <v>0</v>
      </c>
      <c r="N328" t="n">
        <v>0</v>
      </c>
      <c r="O328" t="n">
        <v>0</v>
      </c>
      <c r="P328" t="n">
        <v>0</v>
      </c>
      <c r="Q328" t="n">
        <v>0</v>
      </c>
      <c r="R328" s="2" t="inlineStr"/>
    </row>
    <row r="329" ht="15" customHeight="1">
      <c r="A329" t="inlineStr">
        <is>
          <t>A 60692-2025</t>
        </is>
      </c>
      <c r="B329" s="1" t="n">
        <v>45996</v>
      </c>
      <c r="C329" s="1" t="n">
        <v>45998</v>
      </c>
      <c r="D329" t="inlineStr">
        <is>
          <t>DALARNAS LÄN</t>
        </is>
      </c>
      <c r="E329" t="inlineStr">
        <is>
          <t>AVESTA</t>
        </is>
      </c>
      <c r="G329" t="n">
        <v>0.8</v>
      </c>
      <c r="H329" t="n">
        <v>0</v>
      </c>
      <c r="I329" t="n">
        <v>0</v>
      </c>
      <c r="J329" t="n">
        <v>0</v>
      </c>
      <c r="K329" t="n">
        <v>0</v>
      </c>
      <c r="L329" t="n">
        <v>0</v>
      </c>
      <c r="M329" t="n">
        <v>0</v>
      </c>
      <c r="N329" t="n">
        <v>0</v>
      </c>
      <c r="O329" t="n">
        <v>0</v>
      </c>
      <c r="P329" t="n">
        <v>0</v>
      </c>
      <c r="Q329" t="n">
        <v>0</v>
      </c>
      <c r="R329" s="2" t="inlineStr"/>
    </row>
    <row r="330" ht="15" customHeight="1">
      <c r="A330" t="inlineStr">
        <is>
          <t>A 60643-2025</t>
        </is>
      </c>
      <c r="B330" s="1" t="n">
        <v>45996.44611111111</v>
      </c>
      <c r="C330" s="1" t="n">
        <v>45998</v>
      </c>
      <c r="D330" t="inlineStr">
        <is>
          <t>DALARNAS LÄN</t>
        </is>
      </c>
      <c r="E330" t="inlineStr">
        <is>
          <t>AVESTA</t>
        </is>
      </c>
      <c r="G330" t="n">
        <v>4.7</v>
      </c>
      <c r="H330" t="n">
        <v>0</v>
      </c>
      <c r="I330" t="n">
        <v>0</v>
      </c>
      <c r="J330" t="n">
        <v>0</v>
      </c>
      <c r="K330" t="n">
        <v>0</v>
      </c>
      <c r="L330" t="n">
        <v>0</v>
      </c>
      <c r="M330" t="n">
        <v>0</v>
      </c>
      <c r="N330" t="n">
        <v>0</v>
      </c>
      <c r="O330" t="n">
        <v>0</v>
      </c>
      <c r="P330" t="n">
        <v>0</v>
      </c>
      <c r="Q330" t="n">
        <v>0</v>
      </c>
      <c r="R330" s="2" t="inlineStr"/>
    </row>
    <row r="331" ht="15" customHeight="1">
      <c r="A331" t="inlineStr">
        <is>
          <t>A 47408-2025</t>
        </is>
      </c>
      <c r="B331" s="1" t="n">
        <v>45930</v>
      </c>
      <c r="C331" s="1" t="n">
        <v>45998</v>
      </c>
      <c r="D331" t="inlineStr">
        <is>
          <t>DALARNAS LÄN</t>
        </is>
      </c>
      <c r="E331" t="inlineStr">
        <is>
          <t>AVESTA</t>
        </is>
      </c>
      <c r="G331" t="n">
        <v>1.3</v>
      </c>
      <c r="H331" t="n">
        <v>0</v>
      </c>
      <c r="I331" t="n">
        <v>0</v>
      </c>
      <c r="J331" t="n">
        <v>0</v>
      </c>
      <c r="K331" t="n">
        <v>0</v>
      </c>
      <c r="L331" t="n">
        <v>0</v>
      </c>
      <c r="M331" t="n">
        <v>0</v>
      </c>
      <c r="N331" t="n">
        <v>0</v>
      </c>
      <c r="O331" t="n">
        <v>0</v>
      </c>
      <c r="P331" t="n">
        <v>0</v>
      </c>
      <c r="Q331" t="n">
        <v>0</v>
      </c>
      <c r="R331" s="2" t="inlineStr"/>
    </row>
    <row r="332" ht="15" customHeight="1">
      <c r="A332" t="inlineStr">
        <is>
          <t>A 60642-2025</t>
        </is>
      </c>
      <c r="B332" s="1" t="n">
        <v>45996.44425925926</v>
      </c>
      <c r="C332" s="1" t="n">
        <v>45998</v>
      </c>
      <c r="D332" t="inlineStr">
        <is>
          <t>DALARNAS LÄN</t>
        </is>
      </c>
      <c r="E332" t="inlineStr">
        <is>
          <t>AVESTA</t>
        </is>
      </c>
      <c r="G332" t="n">
        <v>2.3</v>
      </c>
      <c r="H332" t="n">
        <v>0</v>
      </c>
      <c r="I332" t="n">
        <v>0</v>
      </c>
      <c r="J332" t="n">
        <v>0</v>
      </c>
      <c r="K332" t="n">
        <v>0</v>
      </c>
      <c r="L332" t="n">
        <v>0</v>
      </c>
      <c r="M332" t="n">
        <v>0</v>
      </c>
      <c r="N332" t="n">
        <v>0</v>
      </c>
      <c r="O332" t="n">
        <v>0</v>
      </c>
      <c r="P332" t="n">
        <v>0</v>
      </c>
      <c r="Q332" t="n">
        <v>0</v>
      </c>
      <c r="R332" s="2" t="inlineStr"/>
    </row>
    <row r="333" ht="15" customHeight="1">
      <c r="A333" t="inlineStr">
        <is>
          <t>A 60639-2025</t>
        </is>
      </c>
      <c r="B333" s="1" t="n">
        <v>45996.44229166667</v>
      </c>
      <c r="C333" s="1" t="n">
        <v>45998</v>
      </c>
      <c r="D333" t="inlineStr">
        <is>
          <t>DALARNAS LÄN</t>
        </is>
      </c>
      <c r="E333" t="inlineStr">
        <is>
          <t>AVESTA</t>
        </is>
      </c>
      <c r="G333" t="n">
        <v>1.9</v>
      </c>
      <c r="H333" t="n">
        <v>0</v>
      </c>
      <c r="I333" t="n">
        <v>0</v>
      </c>
      <c r="J333" t="n">
        <v>0</v>
      </c>
      <c r="K333" t="n">
        <v>0</v>
      </c>
      <c r="L333" t="n">
        <v>0</v>
      </c>
      <c r="M333" t="n">
        <v>0</v>
      </c>
      <c r="N333" t="n">
        <v>0</v>
      </c>
      <c r="O333" t="n">
        <v>0</v>
      </c>
      <c r="P333" t="n">
        <v>0</v>
      </c>
      <c r="Q333" t="n">
        <v>0</v>
      </c>
      <c r="R333" s="2" t="inlineStr"/>
    </row>
    <row r="334" ht="15" customHeight="1">
      <c r="A334" t="inlineStr">
        <is>
          <t>A 52350-2025</t>
        </is>
      </c>
      <c r="B334" s="1" t="n">
        <v>45953.73703703703</v>
      </c>
      <c r="C334" s="1" t="n">
        <v>45998</v>
      </c>
      <c r="D334" t="inlineStr">
        <is>
          <t>DALARNAS LÄN</t>
        </is>
      </c>
      <c r="E334" t="inlineStr">
        <is>
          <t>AVESTA</t>
        </is>
      </c>
      <c r="G334" t="n">
        <v>2.3</v>
      </c>
      <c r="H334" t="n">
        <v>0</v>
      </c>
      <c r="I334" t="n">
        <v>0</v>
      </c>
      <c r="J334" t="n">
        <v>0</v>
      </c>
      <c r="K334" t="n">
        <v>0</v>
      </c>
      <c r="L334" t="n">
        <v>0</v>
      </c>
      <c r="M334" t="n">
        <v>0</v>
      </c>
      <c r="N334" t="n">
        <v>0</v>
      </c>
      <c r="O334" t="n">
        <v>0</v>
      </c>
      <c r="P334" t="n">
        <v>0</v>
      </c>
      <c r="Q334" t="n">
        <v>0</v>
      </c>
      <c r="R334" s="2" t="inlineStr"/>
    </row>
    <row r="335" ht="15" customHeight="1">
      <c r="A335" t="inlineStr">
        <is>
          <t>A 32720-2024</t>
        </is>
      </c>
      <c r="B335" s="1" t="n">
        <v>45514</v>
      </c>
      <c r="C335" s="1" t="n">
        <v>45998</v>
      </c>
      <c r="D335" t="inlineStr">
        <is>
          <t>DALARNAS LÄN</t>
        </is>
      </c>
      <c r="E335" t="inlineStr">
        <is>
          <t>AVESTA</t>
        </is>
      </c>
      <c r="F335" t="inlineStr">
        <is>
          <t>Bergvik skog väst AB</t>
        </is>
      </c>
      <c r="G335" t="n">
        <v>1.1</v>
      </c>
      <c r="H335" t="n">
        <v>0</v>
      </c>
      <c r="I335" t="n">
        <v>0</v>
      </c>
      <c r="J335" t="n">
        <v>0</v>
      </c>
      <c r="K335" t="n">
        <v>0</v>
      </c>
      <c r="L335" t="n">
        <v>0</v>
      </c>
      <c r="M335" t="n">
        <v>0</v>
      </c>
      <c r="N335" t="n">
        <v>0</v>
      </c>
      <c r="O335" t="n">
        <v>0</v>
      </c>
      <c r="P335" t="n">
        <v>0</v>
      </c>
      <c r="Q335" t="n">
        <v>0</v>
      </c>
      <c r="R335" s="2" t="inlineStr"/>
    </row>
    <row r="336" ht="15" customHeight="1">
      <c r="A336" t="inlineStr">
        <is>
          <t>A 46670-2024</t>
        </is>
      </c>
      <c r="B336" s="1" t="n">
        <v>45583.37766203703</v>
      </c>
      <c r="C336" s="1" t="n">
        <v>45998</v>
      </c>
      <c r="D336" t="inlineStr">
        <is>
          <t>DALARNAS LÄN</t>
        </is>
      </c>
      <c r="E336" t="inlineStr">
        <is>
          <t>AVESTA</t>
        </is>
      </c>
      <c r="F336" t="inlineStr">
        <is>
          <t>Sveaskog</t>
        </is>
      </c>
      <c r="G336" t="n">
        <v>0.6</v>
      </c>
      <c r="H336" t="n">
        <v>0</v>
      </c>
      <c r="I336" t="n">
        <v>0</v>
      </c>
      <c r="J336" t="n">
        <v>0</v>
      </c>
      <c r="K336" t="n">
        <v>0</v>
      </c>
      <c r="L336" t="n">
        <v>0</v>
      </c>
      <c r="M336" t="n">
        <v>0</v>
      </c>
      <c r="N336" t="n">
        <v>0</v>
      </c>
      <c r="O336" t="n">
        <v>0</v>
      </c>
      <c r="P336" t="n">
        <v>0</v>
      </c>
      <c r="Q336" t="n">
        <v>0</v>
      </c>
      <c r="R336" s="2" t="inlineStr"/>
    </row>
    <row r="337" ht="15" customHeight="1">
      <c r="A337" t="inlineStr">
        <is>
          <t>A 46676-2024</t>
        </is>
      </c>
      <c r="B337" s="1" t="n">
        <v>45583.38604166666</v>
      </c>
      <c r="C337" s="1" t="n">
        <v>45998</v>
      </c>
      <c r="D337" t="inlineStr">
        <is>
          <t>DALARNAS LÄN</t>
        </is>
      </c>
      <c r="E337" t="inlineStr">
        <is>
          <t>AVESTA</t>
        </is>
      </c>
      <c r="F337" t="inlineStr">
        <is>
          <t>Sveaskog</t>
        </is>
      </c>
      <c r="G337" t="n">
        <v>2.9</v>
      </c>
      <c r="H337" t="n">
        <v>0</v>
      </c>
      <c r="I337" t="n">
        <v>0</v>
      </c>
      <c r="J337" t="n">
        <v>0</v>
      </c>
      <c r="K337" t="n">
        <v>0</v>
      </c>
      <c r="L337" t="n">
        <v>0</v>
      </c>
      <c r="M337" t="n">
        <v>0</v>
      </c>
      <c r="N337" t="n">
        <v>0</v>
      </c>
      <c r="O337" t="n">
        <v>0</v>
      </c>
      <c r="P337" t="n">
        <v>0</v>
      </c>
      <c r="Q337" t="n">
        <v>0</v>
      </c>
      <c r="R337" s="2" t="inlineStr"/>
    </row>
    <row r="338" ht="15" customHeight="1">
      <c r="A338" t="inlineStr">
        <is>
          <t>A 8360-2025</t>
        </is>
      </c>
      <c r="B338" s="1" t="n">
        <v>45708.85030092593</v>
      </c>
      <c r="C338" s="1" t="n">
        <v>45998</v>
      </c>
      <c r="D338" t="inlineStr">
        <is>
          <t>DALARNAS LÄN</t>
        </is>
      </c>
      <c r="E338" t="inlineStr">
        <is>
          <t>AVESTA</t>
        </is>
      </c>
      <c r="G338" t="n">
        <v>7.4</v>
      </c>
      <c r="H338" t="n">
        <v>0</v>
      </c>
      <c r="I338" t="n">
        <v>0</v>
      </c>
      <c r="J338" t="n">
        <v>0</v>
      </c>
      <c r="K338" t="n">
        <v>0</v>
      </c>
      <c r="L338" t="n">
        <v>0</v>
      </c>
      <c r="M338" t="n">
        <v>0</v>
      </c>
      <c r="N338" t="n">
        <v>0</v>
      </c>
      <c r="O338" t="n">
        <v>0</v>
      </c>
      <c r="P338" t="n">
        <v>0</v>
      </c>
      <c r="Q338" t="n">
        <v>0</v>
      </c>
      <c r="R338" s="2" t="inlineStr"/>
    </row>
    <row r="339" ht="15" customHeight="1">
      <c r="A339" t="inlineStr">
        <is>
          <t>A 13922-2022</t>
        </is>
      </c>
      <c r="B339" s="1" t="n">
        <v>44650</v>
      </c>
      <c r="C339" s="1" t="n">
        <v>45998</v>
      </c>
      <c r="D339" t="inlineStr">
        <is>
          <t>DALARNAS LÄN</t>
        </is>
      </c>
      <c r="E339" t="inlineStr">
        <is>
          <t>AVESTA</t>
        </is>
      </c>
      <c r="G339" t="n">
        <v>1.2</v>
      </c>
      <c r="H339" t="n">
        <v>0</v>
      </c>
      <c r="I339" t="n">
        <v>0</v>
      </c>
      <c r="J339" t="n">
        <v>0</v>
      </c>
      <c r="K339" t="n">
        <v>0</v>
      </c>
      <c r="L339" t="n">
        <v>0</v>
      </c>
      <c r="M339" t="n">
        <v>0</v>
      </c>
      <c r="N339" t="n">
        <v>0</v>
      </c>
      <c r="O339" t="n">
        <v>0</v>
      </c>
      <c r="P339" t="n">
        <v>0</v>
      </c>
      <c r="Q339" t="n">
        <v>0</v>
      </c>
      <c r="R339" s="2" t="inlineStr"/>
    </row>
    <row r="340" ht="15" customHeight="1">
      <c r="A340" t="inlineStr">
        <is>
          <t>A 26516-2022</t>
        </is>
      </c>
      <c r="B340" s="1" t="n">
        <v>44739.429375</v>
      </c>
      <c r="C340" s="1" t="n">
        <v>45998</v>
      </c>
      <c r="D340" t="inlineStr">
        <is>
          <t>DALARNAS LÄN</t>
        </is>
      </c>
      <c r="E340" t="inlineStr">
        <is>
          <t>AVESTA</t>
        </is>
      </c>
      <c r="G340" t="n">
        <v>4</v>
      </c>
      <c r="H340" t="n">
        <v>0</v>
      </c>
      <c r="I340" t="n">
        <v>0</v>
      </c>
      <c r="J340" t="n">
        <v>0</v>
      </c>
      <c r="K340" t="n">
        <v>0</v>
      </c>
      <c r="L340" t="n">
        <v>0</v>
      </c>
      <c r="M340" t="n">
        <v>0</v>
      </c>
      <c r="N340" t="n">
        <v>0</v>
      </c>
      <c r="O340" t="n">
        <v>0</v>
      </c>
      <c r="P340" t="n">
        <v>0</v>
      </c>
      <c r="Q340" t="n">
        <v>0</v>
      </c>
      <c r="R340" s="2" t="inlineStr"/>
    </row>
    <row r="341" ht="15" customHeight="1">
      <c r="A341" t="inlineStr">
        <is>
          <t>A 43086-2023</t>
        </is>
      </c>
      <c r="B341" s="1" t="n">
        <v>45182</v>
      </c>
      <c r="C341" s="1" t="n">
        <v>45998</v>
      </c>
      <c r="D341" t="inlineStr">
        <is>
          <t>DALARNAS LÄN</t>
        </is>
      </c>
      <c r="E341" t="inlineStr">
        <is>
          <t>AVESTA</t>
        </is>
      </c>
      <c r="G341" t="n">
        <v>3.4</v>
      </c>
      <c r="H341" t="n">
        <v>0</v>
      </c>
      <c r="I341" t="n">
        <v>0</v>
      </c>
      <c r="J341" t="n">
        <v>0</v>
      </c>
      <c r="K341" t="n">
        <v>0</v>
      </c>
      <c r="L341" t="n">
        <v>0</v>
      </c>
      <c r="M341" t="n">
        <v>0</v>
      </c>
      <c r="N341" t="n">
        <v>0</v>
      </c>
      <c r="O341" t="n">
        <v>0</v>
      </c>
      <c r="P341" t="n">
        <v>0</v>
      </c>
      <c r="Q341" t="n">
        <v>0</v>
      </c>
      <c r="R341" s="2" t="inlineStr"/>
    </row>
    <row r="342" ht="15" customHeight="1">
      <c r="A342" t="inlineStr">
        <is>
          <t>A 23308-2024</t>
        </is>
      </c>
      <c r="B342" s="1" t="n">
        <v>45453.44587962963</v>
      </c>
      <c r="C342" s="1" t="n">
        <v>45998</v>
      </c>
      <c r="D342" t="inlineStr">
        <is>
          <t>DALARNAS LÄN</t>
        </is>
      </c>
      <c r="E342" t="inlineStr">
        <is>
          <t>AVESTA</t>
        </is>
      </c>
      <c r="G342" t="n">
        <v>3.5</v>
      </c>
      <c r="H342" t="n">
        <v>0</v>
      </c>
      <c r="I342" t="n">
        <v>0</v>
      </c>
      <c r="J342" t="n">
        <v>0</v>
      </c>
      <c r="K342" t="n">
        <v>0</v>
      </c>
      <c r="L342" t="n">
        <v>0</v>
      </c>
      <c r="M342" t="n">
        <v>0</v>
      </c>
      <c r="N342" t="n">
        <v>0</v>
      </c>
      <c r="O342" t="n">
        <v>0</v>
      </c>
      <c r="P342" t="n">
        <v>0</v>
      </c>
      <c r="Q342" t="n">
        <v>0</v>
      </c>
      <c r="R342" s="2" t="inlineStr"/>
    </row>
    <row r="343" ht="15" customHeight="1">
      <c r="A343" t="inlineStr">
        <is>
          <t>A 6971-2023</t>
        </is>
      </c>
      <c r="B343" s="1" t="n">
        <v>44967</v>
      </c>
      <c r="C343" s="1" t="n">
        <v>45998</v>
      </c>
      <c r="D343" t="inlineStr">
        <is>
          <t>DALARNAS LÄN</t>
        </is>
      </c>
      <c r="E343" t="inlineStr">
        <is>
          <t>AVESTA</t>
        </is>
      </c>
      <c r="G343" t="n">
        <v>5.5</v>
      </c>
      <c r="H343" t="n">
        <v>0</v>
      </c>
      <c r="I343" t="n">
        <v>0</v>
      </c>
      <c r="J343" t="n">
        <v>0</v>
      </c>
      <c r="K343" t="n">
        <v>0</v>
      </c>
      <c r="L343" t="n">
        <v>0</v>
      </c>
      <c r="M343" t="n">
        <v>0</v>
      </c>
      <c r="N343" t="n">
        <v>0</v>
      </c>
      <c r="O343" t="n">
        <v>0</v>
      </c>
      <c r="P343" t="n">
        <v>0</v>
      </c>
      <c r="Q343" t="n">
        <v>0</v>
      </c>
      <c r="R343" s="2" t="inlineStr"/>
    </row>
    <row r="344" ht="15" customHeight="1">
      <c r="A344" t="inlineStr">
        <is>
          <t>A 32684-2023</t>
        </is>
      </c>
      <c r="B344" s="1" t="n">
        <v>45112</v>
      </c>
      <c r="C344" s="1" t="n">
        <v>45998</v>
      </c>
      <c r="D344" t="inlineStr">
        <is>
          <t>DALARNAS LÄN</t>
        </is>
      </c>
      <c r="E344" t="inlineStr">
        <is>
          <t>AVESTA</t>
        </is>
      </c>
      <c r="G344" t="n">
        <v>3.2</v>
      </c>
      <c r="H344" t="n">
        <v>0</v>
      </c>
      <c r="I344" t="n">
        <v>0</v>
      </c>
      <c r="J344" t="n">
        <v>0</v>
      </c>
      <c r="K344" t="n">
        <v>0</v>
      </c>
      <c r="L344" t="n">
        <v>0</v>
      </c>
      <c r="M344" t="n">
        <v>0</v>
      </c>
      <c r="N344" t="n">
        <v>0</v>
      </c>
      <c r="O344" t="n">
        <v>0</v>
      </c>
      <c r="P344" t="n">
        <v>0</v>
      </c>
      <c r="Q344" t="n">
        <v>0</v>
      </c>
      <c r="R344" s="2" t="inlineStr"/>
    </row>
    <row r="345" ht="15" customHeight="1">
      <c r="A345" t="inlineStr">
        <is>
          <t>A 32770-2023</t>
        </is>
      </c>
      <c r="B345" s="1" t="n">
        <v>45123.68409722222</v>
      </c>
      <c r="C345" s="1" t="n">
        <v>45998</v>
      </c>
      <c r="D345" t="inlineStr">
        <is>
          <t>DALARNAS LÄN</t>
        </is>
      </c>
      <c r="E345" t="inlineStr">
        <is>
          <t>AVESTA</t>
        </is>
      </c>
      <c r="G345" t="n">
        <v>5.6</v>
      </c>
      <c r="H345" t="n">
        <v>0</v>
      </c>
      <c r="I345" t="n">
        <v>0</v>
      </c>
      <c r="J345" t="n">
        <v>0</v>
      </c>
      <c r="K345" t="n">
        <v>0</v>
      </c>
      <c r="L345" t="n">
        <v>0</v>
      </c>
      <c r="M345" t="n">
        <v>0</v>
      </c>
      <c r="N345" t="n">
        <v>0</v>
      </c>
      <c r="O345" t="n">
        <v>0</v>
      </c>
      <c r="P345" t="n">
        <v>0</v>
      </c>
      <c r="Q345" t="n">
        <v>0</v>
      </c>
      <c r="R345" s="2" t="inlineStr"/>
    </row>
    <row r="346" ht="15" customHeight="1">
      <c r="A346" t="inlineStr">
        <is>
          <t>A 6521-2023</t>
        </is>
      </c>
      <c r="B346" s="1" t="n">
        <v>44966</v>
      </c>
      <c r="C346" s="1" t="n">
        <v>45998</v>
      </c>
      <c r="D346" t="inlineStr">
        <is>
          <t>DALARNAS LÄN</t>
        </is>
      </c>
      <c r="E346" t="inlineStr">
        <is>
          <t>AVESTA</t>
        </is>
      </c>
      <c r="G346" t="n">
        <v>3.9</v>
      </c>
      <c r="H346" t="n">
        <v>0</v>
      </c>
      <c r="I346" t="n">
        <v>0</v>
      </c>
      <c r="J346" t="n">
        <v>0</v>
      </c>
      <c r="K346" t="n">
        <v>0</v>
      </c>
      <c r="L346" t="n">
        <v>0</v>
      </c>
      <c r="M346" t="n">
        <v>0</v>
      </c>
      <c r="N346" t="n">
        <v>0</v>
      </c>
      <c r="O346" t="n">
        <v>0</v>
      </c>
      <c r="P346" t="n">
        <v>0</v>
      </c>
      <c r="Q346" t="n">
        <v>0</v>
      </c>
      <c r="R346" s="2" t="inlineStr"/>
    </row>
    <row r="347" ht="15" customHeight="1">
      <c r="A347" t="inlineStr">
        <is>
          <t>A 2710-2024</t>
        </is>
      </c>
      <c r="B347" s="1" t="n">
        <v>45314</v>
      </c>
      <c r="C347" s="1" t="n">
        <v>45998</v>
      </c>
      <c r="D347" t="inlineStr">
        <is>
          <t>DALARNAS LÄN</t>
        </is>
      </c>
      <c r="E347" t="inlineStr">
        <is>
          <t>AVESTA</t>
        </is>
      </c>
      <c r="G347" t="n">
        <v>2</v>
      </c>
      <c r="H347" t="n">
        <v>0</v>
      </c>
      <c r="I347" t="n">
        <v>0</v>
      </c>
      <c r="J347" t="n">
        <v>0</v>
      </c>
      <c r="K347" t="n">
        <v>0</v>
      </c>
      <c r="L347" t="n">
        <v>0</v>
      </c>
      <c r="M347" t="n">
        <v>0</v>
      </c>
      <c r="N347" t="n">
        <v>0</v>
      </c>
      <c r="O347" t="n">
        <v>0</v>
      </c>
      <c r="P347" t="n">
        <v>0</v>
      </c>
      <c r="Q347" t="n">
        <v>0</v>
      </c>
      <c r="R347" s="2" t="inlineStr"/>
    </row>
    <row r="348" ht="15" customHeight="1">
      <c r="A348" t="inlineStr">
        <is>
          <t>A 50681-2024</t>
        </is>
      </c>
      <c r="B348" s="1" t="n">
        <v>45602.28886574074</v>
      </c>
      <c r="C348" s="1" t="n">
        <v>45998</v>
      </c>
      <c r="D348" t="inlineStr">
        <is>
          <t>DALARNAS LÄN</t>
        </is>
      </c>
      <c r="E348" t="inlineStr">
        <is>
          <t>AVESTA</t>
        </is>
      </c>
      <c r="G348" t="n">
        <v>0.8</v>
      </c>
      <c r="H348" t="n">
        <v>0</v>
      </c>
      <c r="I348" t="n">
        <v>0</v>
      </c>
      <c r="J348" t="n">
        <v>0</v>
      </c>
      <c r="K348" t="n">
        <v>0</v>
      </c>
      <c r="L348" t="n">
        <v>0</v>
      </c>
      <c r="M348" t="n">
        <v>0</v>
      </c>
      <c r="N348" t="n">
        <v>0</v>
      </c>
      <c r="O348" t="n">
        <v>0</v>
      </c>
      <c r="P348" t="n">
        <v>0</v>
      </c>
      <c r="Q348" t="n">
        <v>0</v>
      </c>
      <c r="R348" s="2" t="inlineStr"/>
    </row>
    <row r="349" ht="15" customHeight="1">
      <c r="A349" t="inlineStr">
        <is>
          <t>A 18805-2023</t>
        </is>
      </c>
      <c r="B349" s="1" t="n">
        <v>45044</v>
      </c>
      <c r="C349" s="1" t="n">
        <v>45998</v>
      </c>
      <c r="D349" t="inlineStr">
        <is>
          <t>DALARNAS LÄN</t>
        </is>
      </c>
      <c r="E349" t="inlineStr">
        <is>
          <t>AVESTA</t>
        </is>
      </c>
      <c r="G349" t="n">
        <v>1.1</v>
      </c>
      <c r="H349" t="n">
        <v>0</v>
      </c>
      <c r="I349" t="n">
        <v>0</v>
      </c>
      <c r="J349" t="n">
        <v>0</v>
      </c>
      <c r="K349" t="n">
        <v>0</v>
      </c>
      <c r="L349" t="n">
        <v>0</v>
      </c>
      <c r="M349" t="n">
        <v>0</v>
      </c>
      <c r="N349" t="n">
        <v>0</v>
      </c>
      <c r="O349" t="n">
        <v>0</v>
      </c>
      <c r="P349" t="n">
        <v>0</v>
      </c>
      <c r="Q349" t="n">
        <v>0</v>
      </c>
      <c r="R349" s="2" t="inlineStr"/>
    </row>
    <row r="350" ht="15" customHeight="1">
      <c r="A350" t="inlineStr">
        <is>
          <t>A 7490-2023</t>
        </is>
      </c>
      <c r="B350" s="1" t="n">
        <v>44971.69914351852</v>
      </c>
      <c r="C350" s="1" t="n">
        <v>45998</v>
      </c>
      <c r="D350" t="inlineStr">
        <is>
          <t>DALARNAS LÄN</t>
        </is>
      </c>
      <c r="E350" t="inlineStr">
        <is>
          <t>AVESTA</t>
        </is>
      </c>
      <c r="G350" t="n">
        <v>1.9</v>
      </c>
      <c r="H350" t="n">
        <v>0</v>
      </c>
      <c r="I350" t="n">
        <v>0</v>
      </c>
      <c r="J350" t="n">
        <v>0</v>
      </c>
      <c r="K350" t="n">
        <v>0</v>
      </c>
      <c r="L350" t="n">
        <v>0</v>
      </c>
      <c r="M350" t="n">
        <v>0</v>
      </c>
      <c r="N350" t="n">
        <v>0</v>
      </c>
      <c r="O350" t="n">
        <v>0</v>
      </c>
      <c r="P350" t="n">
        <v>0</v>
      </c>
      <c r="Q350" t="n">
        <v>0</v>
      </c>
      <c r="R350" s="2" t="inlineStr"/>
    </row>
    <row r="351" ht="15" customHeight="1">
      <c r="A351" t="inlineStr">
        <is>
          <t>A 53100-2024</t>
        </is>
      </c>
      <c r="B351" s="1" t="n">
        <v>45611.54230324074</v>
      </c>
      <c r="C351" s="1" t="n">
        <v>45998</v>
      </c>
      <c r="D351" t="inlineStr">
        <is>
          <t>DALARNAS LÄN</t>
        </is>
      </c>
      <c r="E351" t="inlineStr">
        <is>
          <t>AVESTA</t>
        </is>
      </c>
      <c r="F351" t="inlineStr">
        <is>
          <t>Sveaskog</t>
        </is>
      </c>
      <c r="G351" t="n">
        <v>3.6</v>
      </c>
      <c r="H351" t="n">
        <v>0</v>
      </c>
      <c r="I351" t="n">
        <v>0</v>
      </c>
      <c r="J351" t="n">
        <v>0</v>
      </c>
      <c r="K351" t="n">
        <v>0</v>
      </c>
      <c r="L351" t="n">
        <v>0</v>
      </c>
      <c r="M351" t="n">
        <v>0</v>
      </c>
      <c r="N351" t="n">
        <v>0</v>
      </c>
      <c r="O351" t="n">
        <v>0</v>
      </c>
      <c r="P351" t="n">
        <v>0</v>
      </c>
      <c r="Q351" t="n">
        <v>0</v>
      </c>
      <c r="R351" s="2" t="inlineStr"/>
    </row>
    <row r="352" ht="15" customHeight="1">
      <c r="A352" t="inlineStr">
        <is>
          <t>A 22234-2024</t>
        </is>
      </c>
      <c r="B352" s="1" t="n">
        <v>45446.43140046296</v>
      </c>
      <c r="C352" s="1" t="n">
        <v>45998</v>
      </c>
      <c r="D352" t="inlineStr">
        <is>
          <t>DALARNAS LÄN</t>
        </is>
      </c>
      <c r="E352" t="inlineStr">
        <is>
          <t>AVESTA</t>
        </is>
      </c>
      <c r="G352" t="n">
        <v>0.6</v>
      </c>
      <c r="H352" t="n">
        <v>0</v>
      </c>
      <c r="I352" t="n">
        <v>0</v>
      </c>
      <c r="J352" t="n">
        <v>0</v>
      </c>
      <c r="K352" t="n">
        <v>0</v>
      </c>
      <c r="L352" t="n">
        <v>0</v>
      </c>
      <c r="M352" t="n">
        <v>0</v>
      </c>
      <c r="N352" t="n">
        <v>0</v>
      </c>
      <c r="O352" t="n">
        <v>0</v>
      </c>
      <c r="P352" t="n">
        <v>0</v>
      </c>
      <c r="Q352" t="n">
        <v>0</v>
      </c>
      <c r="R352" s="2" t="inlineStr"/>
    </row>
    <row r="353" ht="15" customHeight="1">
      <c r="A353" t="inlineStr">
        <is>
          <t>A 24406-2024</t>
        </is>
      </c>
      <c r="B353" s="1" t="n">
        <v>45457.67018518518</v>
      </c>
      <c r="C353" s="1" t="n">
        <v>45998</v>
      </c>
      <c r="D353" t="inlineStr">
        <is>
          <t>DALARNAS LÄN</t>
        </is>
      </c>
      <c r="E353" t="inlineStr">
        <is>
          <t>AVESTA</t>
        </is>
      </c>
      <c r="G353" t="n">
        <v>9.800000000000001</v>
      </c>
      <c r="H353" t="n">
        <v>0</v>
      </c>
      <c r="I353" t="n">
        <v>0</v>
      </c>
      <c r="J353" t="n">
        <v>0</v>
      </c>
      <c r="K353" t="n">
        <v>0</v>
      </c>
      <c r="L353" t="n">
        <v>0</v>
      </c>
      <c r="M353" t="n">
        <v>0</v>
      </c>
      <c r="N353" t="n">
        <v>0</v>
      </c>
      <c r="O353" t="n">
        <v>0</v>
      </c>
      <c r="P353" t="n">
        <v>0</v>
      </c>
      <c r="Q353" t="n">
        <v>0</v>
      </c>
      <c r="R353" s="2" t="inlineStr"/>
    </row>
    <row r="354" ht="15" customHeight="1">
      <c r="A354" t="inlineStr">
        <is>
          <t>A 50682-2024</t>
        </is>
      </c>
      <c r="B354" s="1" t="n">
        <v>45602.30305555555</v>
      </c>
      <c r="C354" s="1" t="n">
        <v>45998</v>
      </c>
      <c r="D354" t="inlineStr">
        <is>
          <t>DALARNAS LÄN</t>
        </is>
      </c>
      <c r="E354" t="inlineStr">
        <is>
          <t>AVESTA</t>
        </is>
      </c>
      <c r="G354" t="n">
        <v>0.7</v>
      </c>
      <c r="H354" t="n">
        <v>0</v>
      </c>
      <c r="I354" t="n">
        <v>0</v>
      </c>
      <c r="J354" t="n">
        <v>0</v>
      </c>
      <c r="K354" t="n">
        <v>0</v>
      </c>
      <c r="L354" t="n">
        <v>0</v>
      </c>
      <c r="M354" t="n">
        <v>0</v>
      </c>
      <c r="N354" t="n">
        <v>0</v>
      </c>
      <c r="O354" t="n">
        <v>0</v>
      </c>
      <c r="P354" t="n">
        <v>0</v>
      </c>
      <c r="Q354" t="n">
        <v>0</v>
      </c>
      <c r="R354" s="2" t="inlineStr"/>
    </row>
    <row r="355" ht="15" customHeight="1">
      <c r="A355" t="inlineStr">
        <is>
          <t>A 15131-2021</t>
        </is>
      </c>
      <c r="B355" s="1" t="n">
        <v>44283.85297453704</v>
      </c>
      <c r="C355" s="1" t="n">
        <v>45998</v>
      </c>
      <c r="D355" t="inlineStr">
        <is>
          <t>DALARNAS LÄN</t>
        </is>
      </c>
      <c r="E355" t="inlineStr">
        <is>
          <t>AVESTA</t>
        </is>
      </c>
      <c r="G355" t="n">
        <v>1.1</v>
      </c>
      <c r="H355" t="n">
        <v>0</v>
      </c>
      <c r="I355" t="n">
        <v>0</v>
      </c>
      <c r="J355" t="n">
        <v>0</v>
      </c>
      <c r="K355" t="n">
        <v>0</v>
      </c>
      <c r="L355" t="n">
        <v>0</v>
      </c>
      <c r="M355" t="n">
        <v>0</v>
      </c>
      <c r="N355" t="n">
        <v>0</v>
      </c>
      <c r="O355" t="n">
        <v>0</v>
      </c>
      <c r="P355" t="n">
        <v>0</v>
      </c>
      <c r="Q355" t="n">
        <v>0</v>
      </c>
      <c r="R355" s="2" t="inlineStr"/>
    </row>
    <row r="356" ht="15" customHeight="1">
      <c r="A356" t="inlineStr">
        <is>
          <t>A 23834-2024</t>
        </is>
      </c>
      <c r="B356" s="1" t="n">
        <v>45455</v>
      </c>
      <c r="C356" s="1" t="n">
        <v>45998</v>
      </c>
      <c r="D356" t="inlineStr">
        <is>
          <t>DALARNAS LÄN</t>
        </is>
      </c>
      <c r="E356" t="inlineStr">
        <is>
          <t>AVESTA</t>
        </is>
      </c>
      <c r="F356" t="inlineStr">
        <is>
          <t>Bergvik skog väst AB</t>
        </is>
      </c>
      <c r="G356" t="n">
        <v>0.7</v>
      </c>
      <c r="H356" t="n">
        <v>0</v>
      </c>
      <c r="I356" t="n">
        <v>0</v>
      </c>
      <c r="J356" t="n">
        <v>0</v>
      </c>
      <c r="K356" t="n">
        <v>0</v>
      </c>
      <c r="L356" t="n">
        <v>0</v>
      </c>
      <c r="M356" t="n">
        <v>0</v>
      </c>
      <c r="N356" t="n">
        <v>0</v>
      </c>
      <c r="O356" t="n">
        <v>0</v>
      </c>
      <c r="P356" t="n">
        <v>0</v>
      </c>
      <c r="Q356" t="n">
        <v>0</v>
      </c>
      <c r="R356" s="2" t="inlineStr"/>
    </row>
    <row r="357" ht="15" customHeight="1">
      <c r="A357" t="inlineStr">
        <is>
          <t>A 47867-2022</t>
        </is>
      </c>
      <c r="B357" s="1" t="n">
        <v>44855.42674768518</v>
      </c>
      <c r="C357" s="1" t="n">
        <v>45998</v>
      </c>
      <c r="D357" t="inlineStr">
        <is>
          <t>DALARNAS LÄN</t>
        </is>
      </c>
      <c r="E357" t="inlineStr">
        <is>
          <t>AVESTA</t>
        </is>
      </c>
      <c r="G357" t="n">
        <v>2.3</v>
      </c>
      <c r="H357" t="n">
        <v>0</v>
      </c>
      <c r="I357" t="n">
        <v>0</v>
      </c>
      <c r="J357" t="n">
        <v>0</v>
      </c>
      <c r="K357" t="n">
        <v>0</v>
      </c>
      <c r="L357" t="n">
        <v>0</v>
      </c>
      <c r="M357" t="n">
        <v>0</v>
      </c>
      <c r="N357" t="n">
        <v>0</v>
      </c>
      <c r="O357" t="n">
        <v>0</v>
      </c>
      <c r="P357" t="n">
        <v>0</v>
      </c>
      <c r="Q357" t="n">
        <v>0</v>
      </c>
      <c r="R357" s="2" t="inlineStr"/>
    </row>
    <row r="358" ht="15" customHeight="1">
      <c r="A358" t="inlineStr">
        <is>
          <t>A 56536-2024</t>
        </is>
      </c>
      <c r="B358" s="1" t="n">
        <v>45625.55699074074</v>
      </c>
      <c r="C358" s="1" t="n">
        <v>45998</v>
      </c>
      <c r="D358" t="inlineStr">
        <is>
          <t>DALARNAS LÄN</t>
        </is>
      </c>
      <c r="E358" t="inlineStr">
        <is>
          <t>AVESTA</t>
        </is>
      </c>
      <c r="G358" t="n">
        <v>0.7</v>
      </c>
      <c r="H358" t="n">
        <v>0</v>
      </c>
      <c r="I358" t="n">
        <v>0</v>
      </c>
      <c r="J358" t="n">
        <v>0</v>
      </c>
      <c r="K358" t="n">
        <v>0</v>
      </c>
      <c r="L358" t="n">
        <v>0</v>
      </c>
      <c r="M358" t="n">
        <v>0</v>
      </c>
      <c r="N358" t="n">
        <v>0</v>
      </c>
      <c r="O358" t="n">
        <v>0</v>
      </c>
      <c r="P358" t="n">
        <v>0</v>
      </c>
      <c r="Q358" t="n">
        <v>0</v>
      </c>
      <c r="R358" s="2" t="inlineStr"/>
    </row>
    <row r="359" ht="15" customHeight="1">
      <c r="A359" t="inlineStr">
        <is>
          <t>A 25463-2023</t>
        </is>
      </c>
      <c r="B359" s="1" t="n">
        <v>45082</v>
      </c>
      <c r="C359" s="1" t="n">
        <v>45998</v>
      </c>
      <c r="D359" t="inlineStr">
        <is>
          <t>DALARNAS LÄN</t>
        </is>
      </c>
      <c r="E359" t="inlineStr">
        <is>
          <t>AVESTA</t>
        </is>
      </c>
      <c r="G359" t="n">
        <v>1.5</v>
      </c>
      <c r="H359" t="n">
        <v>0</v>
      </c>
      <c r="I359" t="n">
        <v>0</v>
      </c>
      <c r="J359" t="n">
        <v>0</v>
      </c>
      <c r="K359" t="n">
        <v>0</v>
      </c>
      <c r="L359" t="n">
        <v>0</v>
      </c>
      <c r="M359" t="n">
        <v>0</v>
      </c>
      <c r="N359" t="n">
        <v>0</v>
      </c>
      <c r="O359" t="n">
        <v>0</v>
      </c>
      <c r="P359" t="n">
        <v>0</v>
      </c>
      <c r="Q359" t="n">
        <v>0</v>
      </c>
      <c r="R359" s="2" t="inlineStr"/>
    </row>
    <row r="360" ht="15" customHeight="1">
      <c r="A360" t="inlineStr">
        <is>
          <t>A 7321-2025</t>
        </is>
      </c>
      <c r="B360" s="1" t="n">
        <v>45702.85523148148</v>
      </c>
      <c r="C360" s="1" t="n">
        <v>45998</v>
      </c>
      <c r="D360" t="inlineStr">
        <is>
          <t>DALARNAS LÄN</t>
        </is>
      </c>
      <c r="E360" t="inlineStr">
        <is>
          <t>AVESTA</t>
        </is>
      </c>
      <c r="G360" t="n">
        <v>0.7</v>
      </c>
      <c r="H360" t="n">
        <v>0</v>
      </c>
      <c r="I360" t="n">
        <v>0</v>
      </c>
      <c r="J360" t="n">
        <v>0</v>
      </c>
      <c r="K360" t="n">
        <v>0</v>
      </c>
      <c r="L360" t="n">
        <v>0</v>
      </c>
      <c r="M360" t="n">
        <v>0</v>
      </c>
      <c r="N360" t="n">
        <v>0</v>
      </c>
      <c r="O360" t="n">
        <v>0</v>
      </c>
      <c r="P360" t="n">
        <v>0</v>
      </c>
      <c r="Q360" t="n">
        <v>0</v>
      </c>
      <c r="R360" s="2" t="inlineStr"/>
    </row>
    <row r="361" ht="15" customHeight="1">
      <c r="A361" t="inlineStr">
        <is>
          <t>A 23974-2023</t>
        </is>
      </c>
      <c r="B361" s="1" t="n">
        <v>45078.64047453704</v>
      </c>
      <c r="C361" s="1" t="n">
        <v>45998</v>
      </c>
      <c r="D361" t="inlineStr">
        <is>
          <t>DALARNAS LÄN</t>
        </is>
      </c>
      <c r="E361" t="inlineStr">
        <is>
          <t>AVESTA</t>
        </is>
      </c>
      <c r="F361" t="inlineStr">
        <is>
          <t>Sveaskog</t>
        </is>
      </c>
      <c r="G361" t="n">
        <v>0.3</v>
      </c>
      <c r="H361" t="n">
        <v>0</v>
      </c>
      <c r="I361" t="n">
        <v>0</v>
      </c>
      <c r="J361" t="n">
        <v>0</v>
      </c>
      <c r="K361" t="n">
        <v>0</v>
      </c>
      <c r="L361" t="n">
        <v>0</v>
      </c>
      <c r="M361" t="n">
        <v>0</v>
      </c>
      <c r="N361" t="n">
        <v>0</v>
      </c>
      <c r="O361" t="n">
        <v>0</v>
      </c>
      <c r="P361" t="n">
        <v>0</v>
      </c>
      <c r="Q361" t="n">
        <v>0</v>
      </c>
      <c r="R361" s="2" t="inlineStr"/>
    </row>
    <row r="362" ht="15" customHeight="1">
      <c r="A362" t="inlineStr">
        <is>
          <t>A 17560-2023</t>
        </is>
      </c>
      <c r="B362" s="1" t="n">
        <v>45036</v>
      </c>
      <c r="C362" s="1" t="n">
        <v>45998</v>
      </c>
      <c r="D362" t="inlineStr">
        <is>
          <t>DALARNAS LÄN</t>
        </is>
      </c>
      <c r="E362" t="inlineStr">
        <is>
          <t>AVESTA</t>
        </is>
      </c>
      <c r="G362" t="n">
        <v>6.6</v>
      </c>
      <c r="H362" t="n">
        <v>0</v>
      </c>
      <c r="I362" t="n">
        <v>0</v>
      </c>
      <c r="J362" t="n">
        <v>0</v>
      </c>
      <c r="K362" t="n">
        <v>0</v>
      </c>
      <c r="L362" t="n">
        <v>0</v>
      </c>
      <c r="M362" t="n">
        <v>0</v>
      </c>
      <c r="N362" t="n">
        <v>0</v>
      </c>
      <c r="O362" t="n">
        <v>0</v>
      </c>
      <c r="P362" t="n">
        <v>0</v>
      </c>
      <c r="Q362" t="n">
        <v>0</v>
      </c>
      <c r="R362" s="2" t="inlineStr"/>
    </row>
    <row r="363" ht="15" customHeight="1">
      <c r="A363" t="inlineStr">
        <is>
          <t>A 13965-2023</t>
        </is>
      </c>
      <c r="B363" s="1" t="n">
        <v>45008.4775</v>
      </c>
      <c r="C363" s="1" t="n">
        <v>45998</v>
      </c>
      <c r="D363" t="inlineStr">
        <is>
          <t>DALARNAS LÄN</t>
        </is>
      </c>
      <c r="E363" t="inlineStr">
        <is>
          <t>AVESTA</t>
        </is>
      </c>
      <c r="G363" t="n">
        <v>4.2</v>
      </c>
      <c r="H363" t="n">
        <v>0</v>
      </c>
      <c r="I363" t="n">
        <v>0</v>
      </c>
      <c r="J363" t="n">
        <v>0</v>
      </c>
      <c r="K363" t="n">
        <v>0</v>
      </c>
      <c r="L363" t="n">
        <v>0</v>
      </c>
      <c r="M363" t="n">
        <v>0</v>
      </c>
      <c r="N363" t="n">
        <v>0</v>
      </c>
      <c r="O363" t="n">
        <v>0</v>
      </c>
      <c r="P363" t="n">
        <v>0</v>
      </c>
      <c r="Q363" t="n">
        <v>0</v>
      </c>
      <c r="R363" s="2" t="inlineStr"/>
    </row>
    <row r="364" ht="15" customHeight="1">
      <c r="A364" t="inlineStr">
        <is>
          <t>A 44141-2022</t>
        </is>
      </c>
      <c r="B364" s="1" t="n">
        <v>44839</v>
      </c>
      <c r="C364" s="1" t="n">
        <v>45998</v>
      </c>
      <c r="D364" t="inlineStr">
        <is>
          <t>DALARNAS LÄN</t>
        </is>
      </c>
      <c r="E364" t="inlineStr">
        <is>
          <t>AVESTA</t>
        </is>
      </c>
      <c r="G364" t="n">
        <v>6.6</v>
      </c>
      <c r="H364" t="n">
        <v>0</v>
      </c>
      <c r="I364" t="n">
        <v>0</v>
      </c>
      <c r="J364" t="n">
        <v>0</v>
      </c>
      <c r="K364" t="n">
        <v>0</v>
      </c>
      <c r="L364" t="n">
        <v>0</v>
      </c>
      <c r="M364" t="n">
        <v>0</v>
      </c>
      <c r="N364" t="n">
        <v>0</v>
      </c>
      <c r="O364" t="n">
        <v>0</v>
      </c>
      <c r="P364" t="n">
        <v>0</v>
      </c>
      <c r="Q364" t="n">
        <v>0</v>
      </c>
      <c r="R364" s="2" t="inlineStr"/>
    </row>
    <row r="365" ht="15" customHeight="1">
      <c r="A365" t="inlineStr">
        <is>
          <t>A 26085-2021</t>
        </is>
      </c>
      <c r="B365" s="1" t="n">
        <v>44344.89642361111</v>
      </c>
      <c r="C365" s="1" t="n">
        <v>45998</v>
      </c>
      <c r="D365" t="inlineStr">
        <is>
          <t>DALARNAS LÄN</t>
        </is>
      </c>
      <c r="E365" t="inlineStr">
        <is>
          <t>AVESTA</t>
        </is>
      </c>
      <c r="F365" t="inlineStr">
        <is>
          <t>Sveaskog</t>
        </is>
      </c>
      <c r="G365" t="n">
        <v>2</v>
      </c>
      <c r="H365" t="n">
        <v>0</v>
      </c>
      <c r="I365" t="n">
        <v>0</v>
      </c>
      <c r="J365" t="n">
        <v>0</v>
      </c>
      <c r="K365" t="n">
        <v>0</v>
      </c>
      <c r="L365" t="n">
        <v>0</v>
      </c>
      <c r="M365" t="n">
        <v>0</v>
      </c>
      <c r="N365" t="n">
        <v>0</v>
      </c>
      <c r="O365" t="n">
        <v>0</v>
      </c>
      <c r="P365" t="n">
        <v>0</v>
      </c>
      <c r="Q365" t="n">
        <v>0</v>
      </c>
      <c r="R365" s="2" t="inlineStr"/>
    </row>
    <row r="366" ht="15" customHeight="1">
      <c r="A366" t="inlineStr">
        <is>
          <t>A 15088-2021</t>
        </is>
      </c>
      <c r="B366" s="1" t="n">
        <v>44281.70633101852</v>
      </c>
      <c r="C366" s="1" t="n">
        <v>45998</v>
      </c>
      <c r="D366" t="inlineStr">
        <is>
          <t>DALARNAS LÄN</t>
        </is>
      </c>
      <c r="E366" t="inlineStr">
        <is>
          <t>AVESTA</t>
        </is>
      </c>
      <c r="G366" t="n">
        <v>0.9</v>
      </c>
      <c r="H366" t="n">
        <v>0</v>
      </c>
      <c r="I366" t="n">
        <v>0</v>
      </c>
      <c r="J366" t="n">
        <v>0</v>
      </c>
      <c r="K366" t="n">
        <v>0</v>
      </c>
      <c r="L366" t="n">
        <v>0</v>
      </c>
      <c r="M366" t="n">
        <v>0</v>
      </c>
      <c r="N366" t="n">
        <v>0</v>
      </c>
      <c r="O366" t="n">
        <v>0</v>
      </c>
      <c r="P366" t="n">
        <v>0</v>
      </c>
      <c r="Q366" t="n">
        <v>0</v>
      </c>
      <c r="R366" s="2" t="inlineStr"/>
    </row>
    <row r="367" ht="15" customHeight="1">
      <c r="A367" t="inlineStr">
        <is>
          <t>A 28090-2022</t>
        </is>
      </c>
      <c r="B367" s="1" t="n">
        <v>44746.45998842592</v>
      </c>
      <c r="C367" s="1" t="n">
        <v>45998</v>
      </c>
      <c r="D367" t="inlineStr">
        <is>
          <t>DALARNAS LÄN</t>
        </is>
      </c>
      <c r="E367" t="inlineStr">
        <is>
          <t>AVESTA</t>
        </is>
      </c>
      <c r="G367" t="n">
        <v>1.1</v>
      </c>
      <c r="H367" t="n">
        <v>0</v>
      </c>
      <c r="I367" t="n">
        <v>0</v>
      </c>
      <c r="J367" t="n">
        <v>0</v>
      </c>
      <c r="K367" t="n">
        <v>0</v>
      </c>
      <c r="L367" t="n">
        <v>0</v>
      </c>
      <c r="M367" t="n">
        <v>0</v>
      </c>
      <c r="N367" t="n">
        <v>0</v>
      </c>
      <c r="O367" t="n">
        <v>0</v>
      </c>
      <c r="P367" t="n">
        <v>0</v>
      </c>
      <c r="Q367" t="n">
        <v>0</v>
      </c>
      <c r="R367" s="2" t="inlineStr"/>
    </row>
    <row r="368" ht="15" customHeight="1">
      <c r="A368" t="inlineStr">
        <is>
          <t>A 4616-2025</t>
        </is>
      </c>
      <c r="B368" s="1" t="n">
        <v>45687.59722222222</v>
      </c>
      <c r="C368" s="1" t="n">
        <v>45998</v>
      </c>
      <c r="D368" t="inlineStr">
        <is>
          <t>DALARNAS LÄN</t>
        </is>
      </c>
      <c r="E368" t="inlineStr">
        <is>
          <t>AVESTA</t>
        </is>
      </c>
      <c r="G368" t="n">
        <v>0.8</v>
      </c>
      <c r="H368" t="n">
        <v>0</v>
      </c>
      <c r="I368" t="n">
        <v>0</v>
      </c>
      <c r="J368" t="n">
        <v>0</v>
      </c>
      <c r="K368" t="n">
        <v>0</v>
      </c>
      <c r="L368" t="n">
        <v>0</v>
      </c>
      <c r="M368" t="n">
        <v>0</v>
      </c>
      <c r="N368" t="n">
        <v>0</v>
      </c>
      <c r="O368" t="n">
        <v>0</v>
      </c>
      <c r="P368" t="n">
        <v>0</v>
      </c>
      <c r="Q368" t="n">
        <v>0</v>
      </c>
      <c r="R368" s="2" t="inlineStr"/>
    </row>
    <row r="369">
      <c r="A369" t="inlineStr">
        <is>
          <t>A 12145-2025</t>
        </is>
      </c>
      <c r="B369" s="1" t="n">
        <v>45729.40608796296</v>
      </c>
      <c r="C369" s="1" t="n">
        <v>45998</v>
      </c>
      <c r="D369" t="inlineStr">
        <is>
          <t>DALARNAS LÄN</t>
        </is>
      </c>
      <c r="E369" t="inlineStr">
        <is>
          <t>AVESTA</t>
        </is>
      </c>
      <c r="G369" t="n">
        <v>1.3</v>
      </c>
      <c r="H369" t="n">
        <v>0</v>
      </c>
      <c r="I369" t="n">
        <v>0</v>
      </c>
      <c r="J369" t="n">
        <v>0</v>
      </c>
      <c r="K369" t="n">
        <v>0</v>
      </c>
      <c r="L369" t="n">
        <v>0</v>
      </c>
      <c r="M369" t="n">
        <v>0</v>
      </c>
      <c r="N369" t="n">
        <v>0</v>
      </c>
      <c r="O369" t="n">
        <v>0</v>
      </c>
      <c r="P369" t="n">
        <v>0</v>
      </c>
      <c r="Q369" t="n">
        <v>0</v>
      </c>
      <c r="R369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2025-12-07T10:26:46Z</dcterms:created>
  <dcterms:modified xmlns:dcterms="http://purl.org/dc/terms/" xmlns:xsi="http://www.w3.org/2001/XMLSchema-instance" xsi:type="dcterms:W3CDTF">2025-12-07T10:26:46Z</dcterms:modified>
</cp:coreProperties>
</file>