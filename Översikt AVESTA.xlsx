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46225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46225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46225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46225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46225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46225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46225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46225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46225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46225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28087-2025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45817</v>
      </c>
      <c r="E12" s="1" t="n">
        <v>46225</v>
      </c>
      <c r="F12" t="inlineStr">
        <is>
          <t>DALARNAS LÄN</t>
        </is>
      </c>
      <c r="G12" t="inlineStr">
        <is>
          <t>AVESTA</t>
        </is>
      </c>
      <c r="H12" t="inlineStr">
        <is>
          <t>Sveaskog</t>
        </is>
      </c>
      <c r="I12" t="n">
        <v>4.5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1</v>
      </c>
      <c r="V12" s="2" t="inlineStr">
        <is>
          <t>Nordfladdermus
Fläcknycklar</t>
        </is>
      </c>
      <c r="W12">
        <f>HYPERLINK("https://klasma.github.io/Logging_2084/artfynd/A 28087-2025 artfynd.xlsx", "A 28087-2025")</f>
        <v/>
      </c>
      <c r="X12">
        <f>HYPERLINK("https://klasma.github.io/Logging_2084/kartor/A 28087-2025 karta.png", "A 28087-2025")</f>
        <v/>
      </c>
      <c r="Y12">
        <f>HYPERLINK("https://klasma.github.io/Logging_2084/kartor_geotiff/A 28087-2025 georefererad karta.tif", "A 28087-2025")</f>
        <v/>
      </c>
      <c r="AA12">
        <f>HYPERLINK("https://klasma.github.io/Logging_2084/klagomål/A 28087-2025 FSC-klagomål.docx", "A 28087-2025")</f>
        <v/>
      </c>
      <c r="AB12">
        <f>HYPERLINK("https://klasma.github.io/Logging_2084/klagomålsmail/A 28087-2025 FSC-klagomål mail.docx", "A 28087-2025")</f>
        <v/>
      </c>
      <c r="AC12">
        <f>HYPERLINK("https://klasma.github.io/Logging_2084/tillsyn/A 28087-2025 tillsynsbegäran.docx", "A 28087-2025")</f>
        <v/>
      </c>
      <c r="AD12">
        <f>HYPERLINK("https://klasma.github.io/Logging_2084/tillsynsmail/A 28087-2025 tillsynsbegäran mail.docx", "A 28087-2025")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46225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46225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46225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46225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46225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46225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1993-2026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46225</v>
      </c>
      <c r="F19" t="inlineStr">
        <is>
          <t>DALARNAS LÄN</t>
        </is>
      </c>
      <c r="G19" t="inlineStr">
        <is>
          <t>AVESTA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HYPERLINK("https://klasma.github.io/Logging_2084/artfynd/A 1993-2026 artfynd.xlsx", "A 1993-2026")</f>
        <v/>
      </c>
      <c r="X19">
        <f>HYPERLINK("https://klasma.github.io/Logging_2084/kartor/A 1993-2026 karta.png", "A 1993-2026")</f>
        <v/>
      </c>
      <c r="Y19">
        <f>HYPERLINK("https://klasma.github.io/Logging_2084/kartor_geotiff/A 1993-2026 georefererad karta.tif", "A 1993-2026")</f>
        <v/>
      </c>
      <c r="AA19">
        <f>HYPERLINK("https://klasma.github.io/Logging_2084/klagomål/A 1993-2026 FSC-klagomål.docx", "A 1993-2026")</f>
        <v/>
      </c>
      <c r="AB19">
        <f>HYPERLINK("https://klasma.github.io/Logging_2084/klagomålsmail/A 1993-2026 FSC-klagomål mail.docx", "A 1993-2026")</f>
        <v/>
      </c>
      <c r="AC19">
        <f>HYPERLINK("https://klasma.github.io/Logging_2084/tillsyn/A 1993-2026 tillsynsbegäran.docx", "A 1993-2026")</f>
        <v/>
      </c>
      <c r="AD19">
        <f>HYPERLINK("https://klasma.github.io/Logging_2084/tillsynsmail/A 1993-2026 tillsynsbegäran mail.docx", "A 1993-2026")</f>
        <v/>
      </c>
    </row>
    <row r="20" ht="15" customHeight="1">
      <c r="A20" t="inlineStr">
        <is>
          <t>A 56786-2024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46225</v>
      </c>
      <c r="F20" t="inlineStr">
        <is>
          <t>DALARNAS LÄN</t>
        </is>
      </c>
      <c r="G20" t="inlineStr">
        <is>
          <t>AVESTA</t>
        </is>
      </c>
      <c r="I20" t="n">
        <v>4.7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HYPERLINK("https://klasma.github.io/Logging_2084/artfynd/A 56786-2024 artfynd.xlsx", "A 56786-2024")</f>
        <v/>
      </c>
      <c r="X20">
        <f>HYPERLINK("https://klasma.github.io/Logging_2084/kartor/A 56786-2024 karta.png", "A 56786-2024")</f>
        <v/>
      </c>
      <c r="Y20">
        <f>HYPERLINK("https://klasma.github.io/Logging_2084/kartor_geotiff/A 56786-2024 georefererad karta.tif", "A 56786-2024")</f>
        <v/>
      </c>
      <c r="Z20">
        <f>HYPERLINK("https://klasma.github.io/Logging_2084/knärot/A 56786-2024 karta knärot.png", "A 56786-2024")</f>
        <v/>
      </c>
      <c r="AA20">
        <f>HYPERLINK("https://klasma.github.io/Logging_2084/klagomål/A 56786-2024 FSC-klagomål.docx", "A 56786-2024")</f>
        <v/>
      </c>
      <c r="AB20">
        <f>HYPERLINK("https://klasma.github.io/Logging_2084/klagomålsmail/A 56786-2024 FSC-klagomål mail.docx", "A 56786-2024")</f>
        <v/>
      </c>
      <c r="AC20">
        <f>HYPERLINK("https://klasma.github.io/Logging_2084/tillsyn/A 56786-2024 tillsynsbegäran.docx", "A 56786-2024")</f>
        <v/>
      </c>
      <c r="AD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45995</v>
      </c>
      <c r="E21" s="1" t="n">
        <v>46225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Ullticka</t>
        </is>
      </c>
      <c r="W21">
        <f>HYPERLINK("https://klasma.github.io/Logging_2084/artfynd/A 60446-2025 artfynd.xlsx", "A 60446-2025")</f>
        <v/>
      </c>
      <c r="X21">
        <f>HYPERLINK("https://klasma.github.io/Logging_2084/kartor/A 60446-2025 karta.png", "A 60446-2025")</f>
        <v/>
      </c>
      <c r="Y21">
        <f>HYPERLINK("https://klasma.github.io/Logging_2084/kartor_geotiff/A 60446-2025 georefererad karta.tif", "A 60446-2025")</f>
        <v/>
      </c>
      <c r="AA21">
        <f>HYPERLINK("https://klasma.github.io/Logging_2084/klagomål/A 60446-2025 FSC-klagomål.docx", "A 60446-2025")</f>
        <v/>
      </c>
      <c r="AB21">
        <f>HYPERLINK("https://klasma.github.io/Logging_2084/klagomålsmail/A 60446-2025 FSC-klagomål mail.docx", "A 60446-2025")</f>
        <v/>
      </c>
      <c r="AC21">
        <f>HYPERLINK("https://klasma.github.io/Logging_2084/tillsyn/A 60446-2025 tillsynsbegäran.docx", "A 60446-2025")</f>
        <v/>
      </c>
      <c r="AD21">
        <f>HYPERLINK("https://klasma.github.io/Logging_2084/tillsynsmail/A 60446-2025 tillsynsbegäran mail.docx", "A 60446-2025")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46225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46225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46225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46225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39253-2025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46225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39253-2025 artfynd.xlsx", "A 39253-2025")</f>
        <v/>
      </c>
      <c r="X26">
        <f>HYPERLINK("https://klasma.github.io/Logging_2084/kartor/A 39253-2025 karta.png", "A 39253-2025")</f>
        <v/>
      </c>
      <c r="Y26">
        <f>HYPERLINK("https://klasma.github.io/Logging_2084/kartor_geotiff/A 39253-2025 georefererad karta.tif", "A 39253-2025")</f>
        <v/>
      </c>
      <c r="AA26">
        <f>HYPERLINK("https://klasma.github.io/Logging_2084/klagomål/A 39253-2025 FSC-klagomål.docx", "A 39253-2025")</f>
        <v/>
      </c>
      <c r="AB26">
        <f>HYPERLINK("https://klasma.github.io/Logging_2084/klagomålsmail/A 39253-2025 FSC-klagomål mail.docx", "A 39253-2025")</f>
        <v/>
      </c>
      <c r="AC26">
        <f>HYPERLINK("https://klasma.github.io/Logging_2084/tillsyn/A 39253-2025 tillsynsbegäran.docx", "A 39253-2025")</f>
        <v/>
      </c>
      <c r="AD26">
        <f>HYPERLINK("https://klasma.github.io/Logging_2084/tillsynsmail/A 39253-2025 tillsynsbegäran mail.docx", "A 39253-2025")</f>
        <v/>
      </c>
    </row>
    <row r="27" ht="15" customHeight="1">
      <c r="A27" t="inlineStr">
        <is>
          <t>A 26787-2026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46225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26787-2026 artfynd.xlsx", "A 26787-2026")</f>
        <v/>
      </c>
      <c r="X27">
        <f>HYPERLINK("https://klasma.github.io/Logging_2084/kartor/A 26787-2026 karta.png", "A 26787-2026")</f>
        <v/>
      </c>
      <c r="Y27">
        <f>HYPERLINK("https://klasma.github.io/Logging_2084/kartor_geotiff/A 26787-2026 georefererad karta.tif", "A 26787-2026")</f>
        <v/>
      </c>
      <c r="AA27">
        <f>HYPERLINK("https://klasma.github.io/Logging_2084/klagomål/A 26787-2026 FSC-klagomål.docx", "A 26787-2026")</f>
        <v/>
      </c>
      <c r="AB27">
        <f>HYPERLINK("https://klasma.github.io/Logging_2084/klagomålsmail/A 26787-2026 FSC-klagomål mail.docx", "A 26787-2026")</f>
        <v/>
      </c>
      <c r="AC27">
        <f>HYPERLINK("https://klasma.github.io/Logging_2084/tillsyn/A 26787-2026 tillsynsbegäran.docx", "A 26787-2026")</f>
        <v/>
      </c>
      <c r="AD27">
        <f>HYPERLINK("https://klasma.github.io/Logging_2084/tillsynsmail/A 26787-2026 tillsynsbegäran mail.docx", "A 26787-2026")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46225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46225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46225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56571-2023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46225</v>
      </c>
      <c r="F31" t="inlineStr">
        <is>
          <t>DALARNAS LÄN</t>
        </is>
      </c>
      <c r="G31" t="inlineStr">
        <is>
          <t>AVESTA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Gråblå skinnlav</t>
        </is>
      </c>
      <c r="W31">
        <f>HYPERLINK("https://klasma.github.io/Logging_2084/artfynd/A 56571-2023 artfynd.xlsx", "A 56571-2023")</f>
        <v/>
      </c>
      <c r="X31">
        <f>HYPERLINK("https://klasma.github.io/Logging_2084/kartor/A 56571-2023 karta.png", "A 56571-2023")</f>
        <v/>
      </c>
      <c r="Y31">
        <f>HYPERLINK("https://klasma.github.io/Logging_2084/kartor_geotiff/A 56571-2023 georefererad karta.tif", "A 56571-2023")</f>
        <v/>
      </c>
      <c r="AA31">
        <f>HYPERLINK("https://klasma.github.io/Logging_2084/klagomål/A 56571-2023 FSC-klagomål.docx", "A 56571-2023")</f>
        <v/>
      </c>
      <c r="AB31">
        <f>HYPERLINK("https://klasma.github.io/Logging_2084/klagomålsmail/A 56571-2023 FSC-klagomål mail.docx", "A 56571-2023")</f>
        <v/>
      </c>
      <c r="AC31">
        <f>HYPERLINK("https://klasma.github.io/Logging_2084/tillsyn/A 56571-2023 tillsynsbegäran.docx", "A 56571-2023")</f>
        <v/>
      </c>
      <c r="AD31">
        <f>HYPERLINK("https://klasma.github.io/Logging_2084/tillsynsmail/A 56571-2023 tillsynsbegäran mail.docx", "A 56571-2023")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46225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46225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46225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46225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46225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46225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46225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46225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46225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46225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46225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46225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46225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46225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46225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46225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46225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46225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46225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46225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46225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46225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46225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14023-2023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45007</v>
      </c>
      <c r="E55" s="1" t="n">
        <v>46225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45497</v>
      </c>
      <c r="E56" s="1" t="n">
        <v>46225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46225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46225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46225</v>
      </c>
      <c r="F59" t="inlineStr">
        <is>
          <t>DALARNAS LÄN</t>
        </is>
      </c>
      <c r="G59" t="inlineStr">
        <is>
          <t>AVESTA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46225</v>
      </c>
      <c r="F60" t="inlineStr">
        <is>
          <t>DALARNAS LÄN</t>
        </is>
      </c>
      <c r="G60" t="inlineStr">
        <is>
          <t>AVESTA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46225</v>
      </c>
      <c r="F61" t="inlineStr">
        <is>
          <t>DALARNAS LÄN</t>
        </is>
      </c>
      <c r="G61" t="inlineStr">
        <is>
          <t>AVESTA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46225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21534-2024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46225</v>
      </c>
      <c r="F63" t="inlineStr">
        <is>
          <t>DALARNAS LÄN</t>
        </is>
      </c>
      <c r="G63" t="inlineStr">
        <is>
          <t>AVESTA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46225</v>
      </c>
      <c r="F64" t="inlineStr">
        <is>
          <t>DALARNAS LÄN</t>
        </is>
      </c>
      <c r="G64" t="inlineStr">
        <is>
          <t>AVESTA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45473</v>
      </c>
      <c r="E65" s="1" t="n">
        <v>46225</v>
      </c>
      <c r="F65" t="inlineStr">
        <is>
          <t>DALARNAS LÄN</t>
        </is>
      </c>
      <c r="G65" t="inlineStr">
        <is>
          <t>AVESTA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45549</v>
      </c>
      <c r="E66" s="1" t="n">
        <v>46225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46225</v>
      </c>
      <c r="F67" t="inlineStr">
        <is>
          <t>DALARNAS LÄN</t>
        </is>
      </c>
      <c r="G67" t="inlineStr">
        <is>
          <t>AVESTA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46225</v>
      </c>
      <c r="F68" t="inlineStr">
        <is>
          <t>DALARNAS LÄN</t>
        </is>
      </c>
      <c r="G68" t="inlineStr">
        <is>
          <t>AVESTA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45408</v>
      </c>
      <c r="E69" s="1" t="n">
        <v>46225</v>
      </c>
      <c r="F69" t="inlineStr">
        <is>
          <t>DALARNAS LÄN</t>
        </is>
      </c>
      <c r="G69" t="inlineStr">
        <is>
          <t>AVESTA</t>
        </is>
      </c>
      <c r="H69" t="inlineStr">
        <is>
          <t>Bergvik skog väst AB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45453</v>
      </c>
      <c r="E70" s="1" t="n">
        <v>46225</v>
      </c>
      <c r="F70" t="inlineStr">
        <is>
          <t>DALARNAS LÄN</t>
        </is>
      </c>
      <c r="G70" t="inlineStr">
        <is>
          <t>AVESTA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46225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46225</v>
      </c>
      <c r="F72" t="inlineStr">
        <is>
          <t>DALARNAS LÄN</t>
        </is>
      </c>
      <c r="G72" t="inlineStr">
        <is>
          <t>AVESTA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46225</v>
      </c>
      <c r="F73" t="inlineStr">
        <is>
          <t>DALARNAS LÄN</t>
        </is>
      </c>
      <c r="G73" t="inlineStr">
        <is>
          <t>AVESTA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64561-2023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46225</v>
      </c>
      <c r="F74" t="inlineStr">
        <is>
          <t>DALARNAS LÄN</t>
        </is>
      </c>
      <c r="G74" t="inlineStr">
        <is>
          <t>AVESTA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46225</v>
      </c>
      <c r="F75" t="inlineStr">
        <is>
          <t>DALARNAS LÄN</t>
        </is>
      </c>
      <c r="G75" t="inlineStr">
        <is>
          <t>AVESTA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24834-2025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45799</v>
      </c>
      <c r="E76" s="1" t="n">
        <v>46225</v>
      </c>
      <c r="F76" t="inlineStr">
        <is>
          <t>DALARNAS LÄN</t>
        </is>
      </c>
      <c r="G76" t="inlineStr">
        <is>
          <t>AVESTA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46225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46225</v>
      </c>
      <c r="F78" t="inlineStr">
        <is>
          <t>DALARNAS LÄN</t>
        </is>
      </c>
      <c r="G78" t="inlineStr">
        <is>
          <t>AVESTA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24845-2025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46225</v>
      </c>
      <c r="F79" t="inlineStr">
        <is>
          <t>DALARNAS LÄN</t>
        </is>
      </c>
      <c r="G79" t="inlineStr">
        <is>
          <t>AVESTA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25646-2025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46225</v>
      </c>
      <c r="F80" t="inlineStr">
        <is>
          <t>DALARNAS LÄN</t>
        </is>
      </c>
      <c r="G80" t="inlineStr">
        <is>
          <t>AVESTA</t>
        </is>
      </c>
      <c r="I80" t="n">
        <v>7.3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54913-2025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45967</v>
      </c>
      <c r="E81" s="1" t="n">
        <v>46225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45803</v>
      </c>
      <c r="E82" s="1" t="n">
        <v>46225</v>
      </c>
      <c r="F82" t="inlineStr">
        <is>
          <t>DALARNAS LÄN</t>
        </is>
      </c>
      <c r="G82" t="inlineStr">
        <is>
          <t>AVESTA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46225</v>
      </c>
      <c r="F83" t="inlineStr">
        <is>
          <t>DALARNAS LÄN</t>
        </is>
      </c>
      <c r="G83" t="inlineStr">
        <is>
          <t>AVESTA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45496</v>
      </c>
      <c r="E84" s="1" t="n">
        <v>46225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45496</v>
      </c>
      <c r="E85" s="1" t="n">
        <v>46225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46021</v>
      </c>
      <c r="E86" s="1" t="n">
        <v>46225</v>
      </c>
      <c r="F86" t="inlineStr">
        <is>
          <t>DALARNAS LÄN</t>
        </is>
      </c>
      <c r="G86" t="inlineStr">
        <is>
          <t>AVESTA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46225</v>
      </c>
      <c r="F87" t="inlineStr">
        <is>
          <t>DALARNAS LÄN</t>
        </is>
      </c>
      <c r="G87" t="inlineStr">
        <is>
          <t>AVESTA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46225</v>
      </c>
      <c r="F88" t="inlineStr">
        <is>
          <t>DALARNAS LÄN</t>
        </is>
      </c>
      <c r="G88" t="inlineStr">
        <is>
          <t>AVESTA</t>
        </is>
      </c>
      <c r="H88" t="inlineStr">
        <is>
          <t>Bergvik skog väst AB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45818</v>
      </c>
      <c r="E89" s="1" t="n">
        <v>46225</v>
      </c>
      <c r="F89" t="inlineStr">
        <is>
          <t>DALARNAS LÄN</t>
        </is>
      </c>
      <c r="G89" t="inlineStr">
        <is>
          <t>AVESTA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46225</v>
      </c>
      <c r="F90" t="inlineStr">
        <is>
          <t>DALARNAS LÄN</t>
        </is>
      </c>
      <c r="G90" t="inlineStr">
        <is>
          <t>AVESTA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46225</v>
      </c>
      <c r="F91" t="inlineStr">
        <is>
          <t>DALARNAS LÄN</t>
        </is>
      </c>
      <c r="G91" t="inlineStr">
        <is>
          <t>AVESTA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46225</v>
      </c>
      <c r="F92" t="inlineStr">
        <is>
          <t>DALARNAS LÄN</t>
        </is>
      </c>
      <c r="G92" t="inlineStr">
        <is>
          <t>AVESTA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46225</v>
      </c>
      <c r="F93" t="inlineStr">
        <is>
          <t>DALARNAS LÄN</t>
        </is>
      </c>
      <c r="G93" t="inlineStr">
        <is>
          <t>AVESTA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46225</v>
      </c>
      <c r="F94" t="inlineStr">
        <is>
          <t>DALARNAS LÄN</t>
        </is>
      </c>
      <c r="G94" t="inlineStr">
        <is>
          <t>AVESTA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46225</v>
      </c>
      <c r="F95" t="inlineStr">
        <is>
          <t>DALARNAS LÄN</t>
        </is>
      </c>
      <c r="G95" t="inlineStr">
        <is>
          <t>AVESTA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46225</v>
      </c>
      <c r="F96" t="inlineStr">
        <is>
          <t>DALARNAS LÄN</t>
        </is>
      </c>
      <c r="G96" t="inlineStr">
        <is>
          <t>AVESTA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46225</v>
      </c>
      <c r="F97" t="inlineStr">
        <is>
          <t>DALARNAS LÄN</t>
        </is>
      </c>
      <c r="G97" t="inlineStr">
        <is>
          <t>AVESTA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46225</v>
      </c>
      <c r="F98" t="inlineStr">
        <is>
          <t>DALARNAS LÄN</t>
        </is>
      </c>
      <c r="G98" t="inlineStr">
        <is>
          <t>AVESTA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45015</v>
      </c>
      <c r="E99" s="1" t="n">
        <v>46225</v>
      </c>
      <c r="F99" t="inlineStr">
        <is>
          <t>DALARNAS LÄN</t>
        </is>
      </c>
      <c r="G99" t="inlineStr">
        <is>
          <t>AVESTA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46225</v>
      </c>
      <c r="F100" t="inlineStr">
        <is>
          <t>DALARNAS LÄN</t>
        </is>
      </c>
      <c r="G100" t="inlineStr">
        <is>
          <t>AVESTA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7626-2026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46062</v>
      </c>
      <c r="E101" s="1" t="n">
        <v>46225</v>
      </c>
      <c r="F101" t="inlineStr">
        <is>
          <t>DALARNAS LÄN</t>
        </is>
      </c>
      <c r="G101" t="inlineStr">
        <is>
          <t>AVESTA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43172-2025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45910</v>
      </c>
      <c r="E102" s="1" t="n">
        <v>46225</v>
      </c>
      <c r="F102" t="inlineStr">
        <is>
          <t>DALARNAS LÄN</t>
        </is>
      </c>
      <c r="G102" t="inlineStr">
        <is>
          <t>AVESTA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46225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32720-2024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45514</v>
      </c>
      <c r="E104" s="1" t="n">
        <v>46225</v>
      </c>
      <c r="F104" t="inlineStr">
        <is>
          <t>DALARNAS LÄN</t>
        </is>
      </c>
      <c r="G104" t="inlineStr">
        <is>
          <t>AVESTA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46225</v>
      </c>
      <c r="F105" t="inlineStr">
        <is>
          <t>DALARNAS LÄN</t>
        </is>
      </c>
      <c r="G105" t="inlineStr">
        <is>
          <t>AVESTA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46225</v>
      </c>
      <c r="F106" t="inlineStr">
        <is>
          <t>DALARNAS LÄN</t>
        </is>
      </c>
      <c r="G106" t="inlineStr">
        <is>
          <t>AVESTA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46225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46225</v>
      </c>
      <c r="F108" t="inlineStr">
        <is>
          <t>DALARNAS LÄN</t>
        </is>
      </c>
      <c r="G108" t="inlineStr">
        <is>
          <t>AVESTA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44650</v>
      </c>
      <c r="E109" s="1" t="n">
        <v>46225</v>
      </c>
      <c r="F109" t="inlineStr">
        <is>
          <t>DALARNAS LÄN</t>
        </is>
      </c>
      <c r="G109" t="inlineStr">
        <is>
          <t>AVESTA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36004-2025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45863</v>
      </c>
      <c r="E110" s="1" t="n">
        <v>46225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36003-2025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45863</v>
      </c>
      <c r="E111" s="1" t="n">
        <v>46225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36005-2025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45863</v>
      </c>
      <c r="E112" s="1" t="n">
        <v>46225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47026-2025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46225</v>
      </c>
      <c r="F113" t="inlineStr">
        <is>
          <t>DALARNAS LÄN</t>
        </is>
      </c>
      <c r="G113" t="inlineStr">
        <is>
          <t>AVESTA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36178-2025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46225</v>
      </c>
      <c r="F114" t="inlineStr">
        <is>
          <t>DALARNAS LÄN</t>
        </is>
      </c>
      <c r="G114" t="inlineStr">
        <is>
          <t>AVESTA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44471-2024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46225</v>
      </c>
      <c r="F115" t="inlineStr">
        <is>
          <t>DALARNAS LÄN</t>
        </is>
      </c>
      <c r="G115" t="inlineStr">
        <is>
          <t>AVESTA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46225</v>
      </c>
      <c r="F116" t="inlineStr">
        <is>
          <t>DALARNAS LÄN</t>
        </is>
      </c>
      <c r="G116" t="inlineStr">
        <is>
          <t>AVESTA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46225</v>
      </c>
      <c r="F117" t="inlineStr">
        <is>
          <t>DALARNAS LÄN</t>
        </is>
      </c>
      <c r="G117" t="inlineStr">
        <is>
          <t>AVESTA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9403-2022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44616</v>
      </c>
      <c r="E118" s="1" t="n">
        <v>46225</v>
      </c>
      <c r="F118" t="inlineStr">
        <is>
          <t>DALARNAS LÄN</t>
        </is>
      </c>
      <c r="G118" t="inlineStr">
        <is>
          <t>AVESTA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46225</v>
      </c>
      <c r="F119" t="inlineStr">
        <is>
          <t>DALARNAS LÄN</t>
        </is>
      </c>
      <c r="G119" t="inlineStr">
        <is>
          <t>AVESTA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46225</v>
      </c>
      <c r="F120" t="inlineStr">
        <is>
          <t>DALARNAS LÄN</t>
        </is>
      </c>
      <c r="G120" t="inlineStr">
        <is>
          <t>AVESTA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37386-2025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46225</v>
      </c>
      <c r="F121" t="inlineStr">
        <is>
          <t>DALARNAS LÄN</t>
        </is>
      </c>
      <c r="G121" t="inlineStr">
        <is>
          <t>AVESTA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46225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37387-2025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46225</v>
      </c>
      <c r="F123" t="inlineStr">
        <is>
          <t>DALARNAS LÄN</t>
        </is>
      </c>
      <c r="G123" t="inlineStr">
        <is>
          <t>AVESTA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46225</v>
      </c>
      <c r="F124" t="inlineStr">
        <is>
          <t>DALARNAS LÄN</t>
        </is>
      </c>
      <c r="G124" t="inlineStr">
        <is>
          <t>AVESTA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50238-2025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45943</v>
      </c>
      <c r="E125" s="1" t="n">
        <v>46225</v>
      </c>
      <c r="F125" t="inlineStr">
        <is>
          <t>DALARNAS LÄN</t>
        </is>
      </c>
      <c r="G125" t="inlineStr">
        <is>
          <t>AVESTA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46225</v>
      </c>
      <c r="F126" t="inlineStr">
        <is>
          <t>DALARNAS LÄN</t>
        </is>
      </c>
      <c r="G126" t="inlineStr">
        <is>
          <t>AVESTA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45944</v>
      </c>
      <c r="E127" s="1" t="n">
        <v>46225</v>
      </c>
      <c r="F127" t="inlineStr">
        <is>
          <t>DALARNAS LÄN</t>
        </is>
      </c>
      <c r="G127" t="inlineStr">
        <is>
          <t>AVESTA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45948</v>
      </c>
      <c r="E128" s="1" t="n">
        <v>46225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45948</v>
      </c>
      <c r="E129" s="1" t="n">
        <v>46225</v>
      </c>
      <c r="F129" t="inlineStr">
        <is>
          <t>DALARNAS LÄN</t>
        </is>
      </c>
      <c r="G129" t="inlineStr">
        <is>
          <t>AVESTA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45951</v>
      </c>
      <c r="E130" s="1" t="n">
        <v>46225</v>
      </c>
      <c r="F130" t="inlineStr">
        <is>
          <t>DALARNAS LÄN</t>
        </is>
      </c>
      <c r="G130" t="inlineStr">
        <is>
          <t>AVESTA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46225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46225</v>
      </c>
      <c r="F132" t="inlineStr">
        <is>
          <t>DALARNAS LÄN</t>
        </is>
      </c>
      <c r="G132" t="inlineStr">
        <is>
          <t>AVESTA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46225</v>
      </c>
      <c r="F133" t="inlineStr">
        <is>
          <t>DALARNAS LÄN</t>
        </is>
      </c>
      <c r="G133" t="inlineStr">
        <is>
          <t>AVESTA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46225</v>
      </c>
      <c r="F134" t="inlineStr">
        <is>
          <t>DALARNAS LÄN</t>
        </is>
      </c>
      <c r="G134" t="inlineStr">
        <is>
          <t>AVESTA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46225</v>
      </c>
      <c r="F135" t="inlineStr">
        <is>
          <t>DALARNAS LÄN</t>
        </is>
      </c>
      <c r="G135" t="inlineStr">
        <is>
          <t>AVESTA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46225</v>
      </c>
      <c r="F136" t="inlineStr">
        <is>
          <t>DALARNAS LÄN</t>
        </is>
      </c>
      <c r="G136" t="inlineStr">
        <is>
          <t>AVESTA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44972</v>
      </c>
      <c r="E137" s="1" t="n">
        <v>46225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46225</v>
      </c>
      <c r="F138" t="inlineStr">
        <is>
          <t>DALARNAS LÄN</t>
        </is>
      </c>
      <c r="G138" t="inlineStr">
        <is>
          <t>AVESTA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46225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46225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46225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46225</v>
      </c>
      <c r="F142" t="inlineStr">
        <is>
          <t>DALARNAS LÄN</t>
        </is>
      </c>
      <c r="G142" t="inlineStr">
        <is>
          <t>AVESTA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18662-2026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46128</v>
      </c>
      <c r="E143" s="1" t="n">
        <v>46225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18679-2026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46128</v>
      </c>
      <c r="E144" s="1" t="n">
        <v>46225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46225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46128</v>
      </c>
      <c r="E146" s="1" t="n">
        <v>46225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46225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56009-2025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46225</v>
      </c>
      <c r="F148" t="inlineStr">
        <is>
          <t>DALARNAS LÄN</t>
        </is>
      </c>
      <c r="G148" t="inlineStr">
        <is>
          <t>AVESTA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46225</v>
      </c>
      <c r="F149" t="inlineStr">
        <is>
          <t>DALARNAS LÄN</t>
        </is>
      </c>
      <c r="G149" t="inlineStr">
        <is>
          <t>AVESTA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46225</v>
      </c>
      <c r="F150" t="inlineStr">
        <is>
          <t>DALARNAS LÄN</t>
        </is>
      </c>
      <c r="G150" t="inlineStr">
        <is>
          <t>AVESTA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46225</v>
      </c>
      <c r="F151" t="inlineStr">
        <is>
          <t>DALARNAS LÄN</t>
        </is>
      </c>
      <c r="G151" t="inlineStr">
        <is>
          <t>AVESTA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46135</v>
      </c>
      <c r="E152" s="1" t="n">
        <v>46225</v>
      </c>
      <c r="F152" t="inlineStr">
        <is>
          <t>DALARNAS LÄN</t>
        </is>
      </c>
      <c r="G152" t="inlineStr">
        <is>
          <t>AVESTA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46225</v>
      </c>
      <c r="F153" t="inlineStr">
        <is>
          <t>DALARNAS LÄN</t>
        </is>
      </c>
      <c r="G153" t="inlineStr">
        <is>
          <t>AVESTA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45370</v>
      </c>
      <c r="E154" s="1" t="n">
        <v>46225</v>
      </c>
      <c r="F154" t="inlineStr">
        <is>
          <t>DALARNAS LÄN</t>
        </is>
      </c>
      <c r="G154" t="inlineStr">
        <is>
          <t>AVESTA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46225</v>
      </c>
      <c r="F155" t="inlineStr">
        <is>
          <t>DALARNAS LÄN</t>
        </is>
      </c>
      <c r="G155" t="inlineStr">
        <is>
          <t>AVESTA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46225</v>
      </c>
      <c r="F156" t="inlineStr">
        <is>
          <t>DALARNAS LÄN</t>
        </is>
      </c>
      <c r="G156" t="inlineStr">
        <is>
          <t>AVESTA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46225</v>
      </c>
      <c r="F157" t="inlineStr">
        <is>
          <t>DALARNAS LÄN</t>
        </is>
      </c>
      <c r="G157" t="inlineStr">
        <is>
          <t>AVESTA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46225</v>
      </c>
      <c r="F158" t="inlineStr">
        <is>
          <t>DALARNAS LÄN</t>
        </is>
      </c>
      <c r="G158" t="inlineStr">
        <is>
          <t>AVESTA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45866</v>
      </c>
      <c r="E159" s="1" t="n">
        <v>46225</v>
      </c>
      <c r="F159" t="inlineStr">
        <is>
          <t>DALARNAS LÄN</t>
        </is>
      </c>
      <c r="G159" t="inlineStr">
        <is>
          <t>AVESTA</t>
        </is>
      </c>
      <c r="I159" t="n">
        <v>10.6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45999</v>
      </c>
      <c r="E160" s="1" t="n">
        <v>46225</v>
      </c>
      <c r="F160" t="inlineStr">
        <is>
          <t>DALARNAS LÄN</t>
        </is>
      </c>
      <c r="G160" t="inlineStr">
        <is>
          <t>AVESTA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46225</v>
      </c>
      <c r="F161" t="inlineStr">
        <is>
          <t>DALARNAS LÄN</t>
        </is>
      </c>
      <c r="G161" t="inlineStr">
        <is>
          <t>AVESTA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32113-2024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45511</v>
      </c>
      <c r="E162" s="1" t="n">
        <v>46225</v>
      </c>
      <c r="F162" t="inlineStr">
        <is>
          <t>DALARNAS LÄN</t>
        </is>
      </c>
      <c r="G162" t="inlineStr">
        <is>
          <t>AVESTA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45910</v>
      </c>
      <c r="E163" s="1" t="n">
        <v>46225</v>
      </c>
      <c r="F163" t="inlineStr">
        <is>
          <t>DALARNAS LÄN</t>
        </is>
      </c>
      <c r="G163" t="inlineStr">
        <is>
          <t>AVESTA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26769-2026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46184</v>
      </c>
      <c r="E164" s="1" t="n">
        <v>46225</v>
      </c>
      <c r="F164" t="inlineStr">
        <is>
          <t>DALARNAS LÄN</t>
        </is>
      </c>
      <c r="G164" t="inlineStr">
        <is>
          <t>AVESTA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46183</v>
      </c>
      <c r="E165" s="1" t="n">
        <v>46225</v>
      </c>
      <c r="F165" t="inlineStr">
        <is>
          <t>DALARNAS LÄN</t>
        </is>
      </c>
      <c r="G165" t="inlineStr">
        <is>
          <t>AVESTA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46670-2024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46225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46225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46225</v>
      </c>
      <c r="F168" t="inlineStr">
        <is>
          <t>DALARNAS LÄN</t>
        </is>
      </c>
      <c r="G168" t="inlineStr">
        <is>
          <t>AVESTA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46225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46225</v>
      </c>
      <c r="F170" t="inlineStr">
        <is>
          <t>DALARNAS LÄN</t>
        </is>
      </c>
      <c r="G170" t="inlineStr">
        <is>
          <t>AVESTA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46225</v>
      </c>
      <c r="F171" t="inlineStr">
        <is>
          <t>DALARNAS LÄN</t>
        </is>
      </c>
      <c r="G171" t="inlineStr">
        <is>
          <t>AVESTA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46225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46225</v>
      </c>
      <c r="F173" t="inlineStr">
        <is>
          <t>DALARNAS LÄN</t>
        </is>
      </c>
      <c r="G173" t="inlineStr">
        <is>
          <t>AVESTA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45453</v>
      </c>
      <c r="E174" s="1" t="n">
        <v>46225</v>
      </c>
      <c r="F174" t="inlineStr">
        <is>
          <t>DALARNAS LÄN</t>
        </is>
      </c>
      <c r="G174" t="inlineStr">
        <is>
          <t>AVESTA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46225</v>
      </c>
      <c r="F175" t="inlineStr">
        <is>
          <t>DALARNAS LÄN</t>
        </is>
      </c>
      <c r="G175" t="inlineStr">
        <is>
          <t>AVESTA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32770-2023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45123</v>
      </c>
      <c r="E176" s="1" t="n">
        <v>46225</v>
      </c>
      <c r="F176" t="inlineStr">
        <is>
          <t>DALARNAS LÄN</t>
        </is>
      </c>
      <c r="G176" t="inlineStr">
        <is>
          <t>AVESTA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46225</v>
      </c>
      <c r="F177" t="inlineStr">
        <is>
          <t>DALARNAS LÄN</t>
        </is>
      </c>
      <c r="G177" t="inlineStr">
        <is>
          <t>AVESTA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46225</v>
      </c>
      <c r="F178" t="inlineStr">
        <is>
          <t>DALARNAS LÄN</t>
        </is>
      </c>
      <c r="G178" t="inlineStr">
        <is>
          <t>AVESTA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45602</v>
      </c>
      <c r="E179" s="1" t="n">
        <v>46225</v>
      </c>
      <c r="F179" t="inlineStr">
        <is>
          <t>DALARNAS LÄN</t>
        </is>
      </c>
      <c r="G179" t="inlineStr">
        <is>
          <t>AVESTA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45044</v>
      </c>
      <c r="E180" s="1" t="n">
        <v>46225</v>
      </c>
      <c r="F180" t="inlineStr">
        <is>
          <t>DALARNAS LÄN</t>
        </is>
      </c>
      <c r="G180" t="inlineStr">
        <is>
          <t>AVESTA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46225</v>
      </c>
      <c r="F181" t="inlineStr">
        <is>
          <t>DALARNAS LÄN</t>
        </is>
      </c>
      <c r="G181" t="inlineStr">
        <is>
          <t>AVESTA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44971</v>
      </c>
      <c r="E182" s="1" t="n">
        <v>46225</v>
      </c>
      <c r="F182" t="inlineStr">
        <is>
          <t>DALARNAS LÄN</t>
        </is>
      </c>
      <c r="G182" t="inlineStr">
        <is>
          <t>AVESTA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46225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45611</v>
      </c>
      <c r="E184" s="1" t="n">
        <v>46225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45446</v>
      </c>
      <c r="E185" s="1" t="n">
        <v>46225</v>
      </c>
      <c r="F185" t="inlineStr">
        <is>
          <t>DALARNAS LÄN</t>
        </is>
      </c>
      <c r="G185" t="inlineStr">
        <is>
          <t>AVESTA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28227-2026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46196</v>
      </c>
      <c r="E186" s="1" t="n">
        <v>46225</v>
      </c>
      <c r="F186" t="inlineStr">
        <is>
          <t>DALARNAS LÄN</t>
        </is>
      </c>
      <c r="G186" t="inlineStr">
        <is>
          <t>AVESTA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45457</v>
      </c>
      <c r="E187" s="1" t="n">
        <v>46225</v>
      </c>
      <c r="F187" t="inlineStr">
        <is>
          <t>DALARNAS LÄN</t>
        </is>
      </c>
      <c r="G187" t="inlineStr">
        <is>
          <t>AVESTA</t>
        </is>
      </c>
      <c r="I187" t="n">
        <v>9.800000000000001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22579-2026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46155</v>
      </c>
      <c r="E188" s="1" t="n">
        <v>46225</v>
      </c>
      <c r="F188" t="inlineStr">
        <is>
          <t>DALARNAS LÄN</t>
        </is>
      </c>
      <c r="G188" t="inlineStr">
        <is>
          <t>AVESTA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50682-2024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45602</v>
      </c>
      <c r="E189" s="1" t="n">
        <v>46225</v>
      </c>
      <c r="F189" t="inlineStr">
        <is>
          <t>DALARNAS LÄN</t>
        </is>
      </c>
      <c r="G189" t="inlineStr">
        <is>
          <t>AVESTA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46225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46225</v>
      </c>
      <c r="F191" t="inlineStr">
        <is>
          <t>DALARNAS LÄN</t>
        </is>
      </c>
      <c r="G191" t="inlineStr">
        <is>
          <t>AVESTA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46225</v>
      </c>
      <c r="F192" t="inlineStr">
        <is>
          <t>DALARNAS LÄN</t>
        </is>
      </c>
      <c r="G192" t="inlineStr">
        <is>
          <t>AVESTA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46155</v>
      </c>
      <c r="E193" s="1" t="n">
        <v>46225</v>
      </c>
      <c r="F193" t="inlineStr">
        <is>
          <t>DALARNAS LÄN</t>
        </is>
      </c>
      <c r="G193" t="inlineStr">
        <is>
          <t>AVESTA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46225</v>
      </c>
      <c r="F194" t="inlineStr">
        <is>
          <t>DALARNAS LÄN</t>
        </is>
      </c>
      <c r="G194" t="inlineStr">
        <is>
          <t>AVESTA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46225</v>
      </c>
      <c r="F195" t="inlineStr">
        <is>
          <t>DALARNAS LÄN</t>
        </is>
      </c>
      <c r="G195" t="inlineStr">
        <is>
          <t>AVESTA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19359-2025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45769</v>
      </c>
      <c r="E196" s="1" t="n">
        <v>46225</v>
      </c>
      <c r="F196" t="inlineStr">
        <is>
          <t>DALARNAS LÄN</t>
        </is>
      </c>
      <c r="G196" t="inlineStr">
        <is>
          <t>AVESTA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47867-2022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46225</v>
      </c>
      <c r="F197" t="inlineStr">
        <is>
          <t>DALARNAS LÄN</t>
        </is>
      </c>
      <c r="G197" t="inlineStr">
        <is>
          <t>AVESTA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46225</v>
      </c>
      <c r="F198" t="inlineStr">
        <is>
          <t>DALARNAS LÄN</t>
        </is>
      </c>
      <c r="G198" t="inlineStr">
        <is>
          <t>AVESTA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46225</v>
      </c>
      <c r="F199" t="inlineStr">
        <is>
          <t>DALARNAS LÄN</t>
        </is>
      </c>
      <c r="G199" t="inlineStr">
        <is>
          <t>AVESTA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45702</v>
      </c>
      <c r="E200" s="1" t="n">
        <v>46225</v>
      </c>
      <c r="F200" t="inlineStr">
        <is>
          <t>DALARNAS LÄN</t>
        </is>
      </c>
      <c r="G200" t="inlineStr">
        <is>
          <t>AVESTA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45078</v>
      </c>
      <c r="E201" s="1" t="n">
        <v>46225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46225</v>
      </c>
      <c r="F202" t="inlineStr">
        <is>
          <t>DALARNAS LÄN</t>
        </is>
      </c>
      <c r="G202" t="inlineStr">
        <is>
          <t>AVESTA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46225</v>
      </c>
      <c r="F203" t="inlineStr">
        <is>
          <t>DALARNAS LÄN</t>
        </is>
      </c>
      <c r="G203" t="inlineStr">
        <is>
          <t>AVESTA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46225</v>
      </c>
      <c r="F204" t="inlineStr">
        <is>
          <t>DALARNAS LÄN</t>
        </is>
      </c>
      <c r="G204" t="inlineStr">
        <is>
          <t>AVESTA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46225</v>
      </c>
      <c r="F205" t="inlineStr">
        <is>
          <t>DALARNAS LÄN</t>
        </is>
      </c>
      <c r="G205" t="inlineStr">
        <is>
          <t>AVESTA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44839</v>
      </c>
      <c r="E206" s="1" t="n">
        <v>46225</v>
      </c>
      <c r="F206" t="inlineStr">
        <is>
          <t>DALARNAS LÄN</t>
        </is>
      </c>
      <c r="G206" t="inlineStr">
        <is>
          <t>AVESTA</t>
        </is>
      </c>
      <c r="I206" t="n">
        <v>6.6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46225</v>
      </c>
      <c r="F207" t="inlineStr">
        <is>
          <t>DALARNAS LÄN</t>
        </is>
      </c>
      <c r="G207" t="inlineStr">
        <is>
          <t>AVESTA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46225</v>
      </c>
      <c r="F208" t="inlineStr">
        <is>
          <t>DALARNAS LÄN</t>
        </is>
      </c>
      <c r="G208" t="inlineStr">
        <is>
          <t>AVESTA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45196</v>
      </c>
      <c r="E209" s="1" t="n">
        <v>46225</v>
      </c>
      <c r="F209" t="inlineStr">
        <is>
          <t>DALARNAS LÄN</t>
        </is>
      </c>
      <c r="G209" t="inlineStr">
        <is>
          <t>AVESTA</t>
        </is>
      </c>
      <c r="H209" t="inlineStr">
        <is>
          <t>Sveaskog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46225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46225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16522-2025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45751</v>
      </c>
      <c r="E212" s="1" t="n">
        <v>46225</v>
      </c>
      <c r="F212" t="inlineStr">
        <is>
          <t>DALARNAS LÄN</t>
        </is>
      </c>
      <c r="G212" t="inlineStr">
        <is>
          <t>AVESTA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45232</v>
      </c>
      <c r="E213" s="1" t="n">
        <v>46225</v>
      </c>
      <c r="F213" t="inlineStr">
        <is>
          <t>DALARNAS LÄN</t>
        </is>
      </c>
      <c r="G213" t="inlineStr">
        <is>
          <t>AVESTA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10078-2025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46225</v>
      </c>
      <c r="F214" t="inlineStr">
        <is>
          <t>DALARNAS LÄN</t>
        </is>
      </c>
      <c r="G214" t="inlineStr">
        <is>
          <t>AVESTA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46225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46225</v>
      </c>
      <c r="F216" t="inlineStr">
        <is>
          <t>DALARNAS LÄN</t>
        </is>
      </c>
      <c r="G216" t="inlineStr">
        <is>
          <t>AVESTA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45492</v>
      </c>
      <c r="E217" s="1" t="n">
        <v>46225</v>
      </c>
      <c r="F217" t="inlineStr">
        <is>
          <t>DALARNAS LÄN</t>
        </is>
      </c>
      <c r="G217" t="inlineStr">
        <is>
          <t>AVESTA</t>
        </is>
      </c>
      <c r="H217" t="inlineStr">
        <is>
          <t>Sveaskog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46225</v>
      </c>
      <c r="F218" t="inlineStr">
        <is>
          <t>DALARNAS LÄN</t>
        </is>
      </c>
      <c r="G218" t="inlineStr">
        <is>
          <t>AVESTA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46225</v>
      </c>
      <c r="F219" t="inlineStr">
        <is>
          <t>DALARNAS LÄN</t>
        </is>
      </c>
      <c r="G219" t="inlineStr">
        <is>
          <t>AVESTA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24392-2026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46225</v>
      </c>
      <c r="F220" t="inlineStr">
        <is>
          <t>DALARNAS LÄN</t>
        </is>
      </c>
      <c r="G220" t="inlineStr">
        <is>
          <t>AVESTA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46225</v>
      </c>
      <c r="F221" t="inlineStr">
        <is>
          <t>DALARNAS LÄN</t>
        </is>
      </c>
      <c r="G221" t="inlineStr">
        <is>
          <t>AVESTA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46225</v>
      </c>
      <c r="F222" t="inlineStr">
        <is>
          <t>DALARNAS LÄN</t>
        </is>
      </c>
      <c r="G222" t="inlineStr">
        <is>
          <t>AVESTA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73377-2021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44551</v>
      </c>
      <c r="E223" s="1" t="n">
        <v>46225</v>
      </c>
      <c r="F223" t="inlineStr">
        <is>
          <t>DALARNAS LÄN</t>
        </is>
      </c>
      <c r="G223" t="inlineStr">
        <is>
          <t>AVESTA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46225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46225</v>
      </c>
      <c r="F225" t="inlineStr">
        <is>
          <t>DALARNAS LÄN</t>
        </is>
      </c>
      <c r="G225" t="inlineStr">
        <is>
          <t>AVESTA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45510</v>
      </c>
      <c r="E226" s="1" t="n">
        <v>46225</v>
      </c>
      <c r="F226" t="inlineStr">
        <is>
          <t>DALARNAS LÄN</t>
        </is>
      </c>
      <c r="G226" t="inlineStr">
        <is>
          <t>AVESTA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44684</v>
      </c>
      <c r="E227" s="1" t="n">
        <v>46225</v>
      </c>
      <c r="F227" t="inlineStr">
        <is>
          <t>DALARNAS LÄN</t>
        </is>
      </c>
      <c r="G227" t="inlineStr">
        <is>
          <t>AVESTA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46225</v>
      </c>
      <c r="F228" t="inlineStr">
        <is>
          <t>DALARNAS LÄN</t>
        </is>
      </c>
      <c r="G228" t="inlineStr">
        <is>
          <t>AVESTA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46175</v>
      </c>
      <c r="E229" s="1" t="n">
        <v>46225</v>
      </c>
      <c r="F229" t="inlineStr">
        <is>
          <t>DALARNAS LÄN</t>
        </is>
      </c>
      <c r="G229" t="inlineStr">
        <is>
          <t>AVESTA</t>
        </is>
      </c>
      <c r="I229" t="n">
        <v>19.2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46225</v>
      </c>
      <c r="F230" t="inlineStr">
        <is>
          <t>DALARNAS LÄN</t>
        </is>
      </c>
      <c r="G230" t="inlineStr">
        <is>
          <t>AVESTA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46225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11825-2026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46085</v>
      </c>
      <c r="E232" s="1" t="n">
        <v>46225</v>
      </c>
      <c r="F232" t="inlineStr">
        <is>
          <t>DALARNAS LÄN</t>
        </is>
      </c>
      <c r="G232" t="inlineStr">
        <is>
          <t>AVESTA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46124</v>
      </c>
      <c r="E233" s="1" t="n">
        <v>46225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44980</v>
      </c>
      <c r="E234" s="1" t="n">
        <v>46225</v>
      </c>
      <c r="F234" t="inlineStr">
        <is>
          <t>DALARNAS LÄN</t>
        </is>
      </c>
      <c r="G234" t="inlineStr">
        <is>
          <t>AVESTA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46225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46223</v>
      </c>
      <c r="E236" s="1" t="n">
        <v>46225</v>
      </c>
      <c r="F236" t="inlineStr">
        <is>
          <t>DALARNAS LÄN</t>
        </is>
      </c>
      <c r="G236" t="inlineStr">
        <is>
          <t>AVESTA</t>
        </is>
      </c>
      <c r="H236" t="inlineStr">
        <is>
          <t>Bergvik skog väst AB</t>
        </is>
      </c>
      <c r="I236" t="n">
        <v>21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46225</v>
      </c>
      <c r="F237" t="inlineStr">
        <is>
          <t>DALARNAS LÄN</t>
        </is>
      </c>
      <c r="G237" t="inlineStr">
        <is>
          <t>AVESTA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26337-2026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46182</v>
      </c>
      <c r="E238" s="1" t="n">
        <v>46225</v>
      </c>
      <c r="F238" t="inlineStr">
        <is>
          <t>DALARNAS LÄN</t>
        </is>
      </c>
      <c r="G238" t="inlineStr">
        <is>
          <t>AVESTA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45269</v>
      </c>
      <c r="E239" s="1" t="n">
        <v>46225</v>
      </c>
      <c r="F239" t="inlineStr">
        <is>
          <t>DALARNAS LÄN</t>
        </is>
      </c>
      <c r="G239" t="inlineStr">
        <is>
          <t>AVESTA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45505</v>
      </c>
      <c r="E240" s="1" t="n">
        <v>46225</v>
      </c>
      <c r="F240" t="inlineStr">
        <is>
          <t>DALARNAS LÄN</t>
        </is>
      </c>
      <c r="G240" t="inlineStr">
        <is>
          <t>AVESTA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45040</v>
      </c>
      <c r="E241" s="1" t="n">
        <v>46225</v>
      </c>
      <c r="F241" t="inlineStr">
        <is>
          <t>DALARNAS LÄN</t>
        </is>
      </c>
      <c r="G241" t="inlineStr">
        <is>
          <t>AVESTA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44963</v>
      </c>
      <c r="E242" s="1" t="n">
        <v>46225</v>
      </c>
      <c r="F242" t="inlineStr">
        <is>
          <t>DALARNAS LÄN</t>
        </is>
      </c>
      <c r="G242" t="inlineStr">
        <is>
          <t>AVESTA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45138</v>
      </c>
      <c r="E243" s="1" t="n">
        <v>46225</v>
      </c>
      <c r="F243" t="inlineStr">
        <is>
          <t>DALARNAS LÄN</t>
        </is>
      </c>
      <c r="G243" t="inlineStr">
        <is>
          <t>AVESTA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45598</v>
      </c>
      <c r="E244" s="1" t="n">
        <v>46225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46225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45008</v>
      </c>
      <c r="E246" s="1" t="n">
        <v>46225</v>
      </c>
      <c r="F246" t="inlineStr">
        <is>
          <t>DALARNAS LÄN</t>
        </is>
      </c>
      <c r="G246" t="inlineStr">
        <is>
          <t>AVESTA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44571</v>
      </c>
      <c r="E247" s="1" t="n">
        <v>46225</v>
      </c>
      <c r="F247" t="inlineStr">
        <is>
          <t>DALARNAS LÄN</t>
        </is>
      </c>
      <c r="G247" t="inlineStr">
        <is>
          <t>AVESTA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45103</v>
      </c>
      <c r="E248" s="1" t="n">
        <v>46225</v>
      </c>
      <c r="F248" t="inlineStr">
        <is>
          <t>DALARNAS LÄN</t>
        </is>
      </c>
      <c r="G248" t="inlineStr">
        <is>
          <t>AVESTA</t>
        </is>
      </c>
      <c r="H248" t="inlineStr">
        <is>
          <t>Bergvik skog väst AB</t>
        </is>
      </c>
      <c r="I248" t="n">
        <v>37.2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45499</v>
      </c>
      <c r="E249" s="1" t="n">
        <v>46225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45649</v>
      </c>
      <c r="E250" s="1" t="n">
        <v>46225</v>
      </c>
      <c r="F250" t="inlineStr">
        <is>
          <t>DALARNAS LÄN</t>
        </is>
      </c>
      <c r="G250" t="inlineStr">
        <is>
          <t>AVESTA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46225</v>
      </c>
      <c r="F251" t="inlineStr">
        <is>
          <t>DALARNAS LÄN</t>
        </is>
      </c>
      <c r="G251" t="inlineStr">
        <is>
          <t>AVESTA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46225</v>
      </c>
      <c r="F252" t="inlineStr">
        <is>
          <t>DALARNAS LÄN</t>
        </is>
      </c>
      <c r="G252" t="inlineStr">
        <is>
          <t>AVESTA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46225</v>
      </c>
      <c r="F253" t="inlineStr">
        <is>
          <t>DALARNAS LÄN</t>
        </is>
      </c>
      <c r="G253" t="inlineStr">
        <is>
          <t>AVESTA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44614</v>
      </c>
      <c r="E254" s="1" t="n">
        <v>46225</v>
      </c>
      <c r="F254" t="inlineStr">
        <is>
          <t>DALARNAS LÄN</t>
        </is>
      </c>
      <c r="G254" t="inlineStr">
        <is>
          <t>AVESTA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29468-2022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44753</v>
      </c>
      <c r="E255" s="1" t="n">
        <v>46225</v>
      </c>
      <c r="F255" t="inlineStr">
        <is>
          <t>DALARNAS LÄN</t>
        </is>
      </c>
      <c r="G255" t="inlineStr">
        <is>
          <t>AVESTA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53820-2023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45231</v>
      </c>
      <c r="E256" s="1" t="n">
        <v>46225</v>
      </c>
      <c r="F256" t="inlineStr">
        <is>
          <t>DALARNAS LÄN</t>
        </is>
      </c>
      <c r="G256" t="inlineStr">
        <is>
          <t>AVESTA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46225</v>
      </c>
      <c r="F257" t="inlineStr">
        <is>
          <t>DALARNAS LÄN</t>
        </is>
      </c>
      <c r="G257" t="inlineStr">
        <is>
          <t>AVESTA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46225</v>
      </c>
      <c r="F258" t="inlineStr">
        <is>
          <t>DALARNAS LÄN</t>
        </is>
      </c>
      <c r="G258" t="inlineStr">
        <is>
          <t>AVESTA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45191</v>
      </c>
      <c r="E259" s="1" t="n">
        <v>46225</v>
      </c>
      <c r="F259" t="inlineStr">
        <is>
          <t>DALARNAS LÄN</t>
        </is>
      </c>
      <c r="G259" t="inlineStr">
        <is>
          <t>AVESTA</t>
        </is>
      </c>
      <c r="H259" t="inlineStr">
        <is>
          <t>Bergvik skog väst AB</t>
        </is>
      </c>
      <c r="I259" t="n">
        <v>12.2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46225</v>
      </c>
      <c r="F260" t="inlineStr">
        <is>
          <t>DALARNAS LÄN</t>
        </is>
      </c>
      <c r="G260" t="inlineStr">
        <is>
          <t>AVESTA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46225</v>
      </c>
      <c r="F261" t="inlineStr">
        <is>
          <t>DALARNAS LÄN</t>
        </is>
      </c>
      <c r="G261" t="inlineStr">
        <is>
          <t>AVESTA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46225</v>
      </c>
      <c r="F262" t="inlineStr">
        <is>
          <t>DALARNAS LÄN</t>
        </is>
      </c>
      <c r="G262" t="inlineStr">
        <is>
          <t>AVESTA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46225</v>
      </c>
      <c r="F263" t="inlineStr">
        <is>
          <t>DALARNAS LÄN</t>
        </is>
      </c>
      <c r="G263" t="inlineStr">
        <is>
          <t>AVESTA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45348</v>
      </c>
      <c r="E264" s="1" t="n">
        <v>46225</v>
      </c>
      <c r="F264" t="inlineStr">
        <is>
          <t>DALARNAS LÄN</t>
        </is>
      </c>
      <c r="G264" t="inlineStr">
        <is>
          <t>AVESTA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46225</v>
      </c>
      <c r="F265" t="inlineStr">
        <is>
          <t>DALARNAS LÄN</t>
        </is>
      </c>
      <c r="G265" t="inlineStr">
        <is>
          <t>AVESTA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45269</v>
      </c>
      <c r="E266" s="1" t="n">
        <v>46225</v>
      </c>
      <c r="F266" t="inlineStr">
        <is>
          <t>DALARNAS LÄN</t>
        </is>
      </c>
      <c r="G266" t="inlineStr">
        <is>
          <t>AVESTA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44875</v>
      </c>
      <c r="E267" s="1" t="n">
        <v>46225</v>
      </c>
      <c r="F267" t="inlineStr">
        <is>
          <t>DALARNAS LÄN</t>
        </is>
      </c>
      <c r="G267" t="inlineStr">
        <is>
          <t>AVESTA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30736-2024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45496</v>
      </c>
      <c r="E268" s="1" t="n">
        <v>46225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45496</v>
      </c>
      <c r="E269" s="1" t="n">
        <v>46225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45266</v>
      </c>
      <c r="E270" s="1" t="n">
        <v>46225</v>
      </c>
      <c r="F270" t="inlineStr">
        <is>
          <t>DALARNAS LÄN</t>
        </is>
      </c>
      <c r="G270" t="inlineStr">
        <is>
          <t>AVESTA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45721</v>
      </c>
      <c r="E271" s="1" t="n">
        <v>46225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46225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26527-2022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46225</v>
      </c>
      <c r="F273" t="inlineStr">
        <is>
          <t>DALARNAS LÄN</t>
        </is>
      </c>
      <c r="G273" t="inlineStr">
        <is>
          <t>AVESTA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45072</v>
      </c>
      <c r="E274" s="1" t="n">
        <v>46225</v>
      </c>
      <c r="F274" t="inlineStr">
        <is>
          <t>DALARNAS LÄN</t>
        </is>
      </c>
      <c r="G274" t="inlineStr">
        <is>
          <t>AVESTA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44587</v>
      </c>
      <c r="E275" s="1" t="n">
        <v>46225</v>
      </c>
      <c r="F275" t="inlineStr">
        <is>
          <t>DALARNAS LÄN</t>
        </is>
      </c>
      <c r="G275" t="inlineStr">
        <is>
          <t>AVESTA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50863-2021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44460</v>
      </c>
      <c r="E276" s="1" t="n">
        <v>46225</v>
      </c>
      <c r="F276" t="inlineStr">
        <is>
          <t>DALARNAS LÄN</t>
        </is>
      </c>
      <c r="G276" t="inlineStr">
        <is>
          <t>AVESTA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46225</v>
      </c>
      <c r="F277" t="inlineStr">
        <is>
          <t>DALARNAS LÄN</t>
        </is>
      </c>
      <c r="G277" t="inlineStr">
        <is>
          <t>AVESTA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46225</v>
      </c>
      <c r="F278" t="inlineStr">
        <is>
          <t>DALARNAS LÄN</t>
        </is>
      </c>
      <c r="G278" t="inlineStr">
        <is>
          <t>AVESTA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45040</v>
      </c>
      <c r="E279" s="1" t="n">
        <v>46225</v>
      </c>
      <c r="F279" t="inlineStr">
        <is>
          <t>DALARNAS LÄN</t>
        </is>
      </c>
      <c r="G279" t="inlineStr">
        <is>
          <t>AVESTA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46225</v>
      </c>
      <c r="F280" t="inlineStr">
        <is>
          <t>DALARNAS LÄN</t>
        </is>
      </c>
      <c r="G280" t="inlineStr">
        <is>
          <t>AVESTA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44687</v>
      </c>
      <c r="E281" s="1" t="n">
        <v>46225</v>
      </c>
      <c r="F281" t="inlineStr">
        <is>
          <t>DALARNAS LÄN</t>
        </is>
      </c>
      <c r="G281" t="inlineStr">
        <is>
          <t>AVESTA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46225</v>
      </c>
      <c r="F282" t="inlineStr">
        <is>
          <t>DALARNAS LÄN</t>
        </is>
      </c>
      <c r="G282" t="inlineStr">
        <is>
          <t>AVESTA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45598</v>
      </c>
      <c r="E283" s="1" t="n">
        <v>46225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46225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46225</v>
      </c>
      <c r="F285" t="inlineStr">
        <is>
          <t>DALARNAS LÄN</t>
        </is>
      </c>
      <c r="G285" t="inlineStr">
        <is>
          <t>AVESTA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46225</v>
      </c>
      <c r="F286" t="inlineStr">
        <is>
          <t>DALARNAS LÄN</t>
        </is>
      </c>
      <c r="G286" t="inlineStr">
        <is>
          <t>AVESTA</t>
        </is>
      </c>
      <c r="I286" t="n">
        <v>17.6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46225</v>
      </c>
      <c r="F287" t="inlineStr">
        <is>
          <t>DALARNAS LÄN</t>
        </is>
      </c>
      <c r="G287" t="inlineStr">
        <is>
          <t>AVESTA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45734</v>
      </c>
      <c r="E288" s="1" t="n">
        <v>46225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46225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46225</v>
      </c>
      <c r="F290" t="inlineStr">
        <is>
          <t>DALARNAS LÄN</t>
        </is>
      </c>
      <c r="G290" t="inlineStr">
        <is>
          <t>AVESTA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46225</v>
      </c>
      <c r="F291" t="inlineStr">
        <is>
          <t>DALARNAS LÄN</t>
        </is>
      </c>
      <c r="G291" t="inlineStr">
        <is>
          <t>AVESTA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46225</v>
      </c>
      <c r="F292" t="inlineStr">
        <is>
          <t>DALARNAS LÄN</t>
        </is>
      </c>
      <c r="G292" t="inlineStr">
        <is>
          <t>AVESTA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46225</v>
      </c>
      <c r="F293" t="inlineStr">
        <is>
          <t>DALARNAS LÄN</t>
        </is>
      </c>
      <c r="G293" t="inlineStr">
        <is>
          <t>AVESTA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46225</v>
      </c>
      <c r="F294" t="inlineStr">
        <is>
          <t>DALARNAS LÄN</t>
        </is>
      </c>
      <c r="G294" t="inlineStr">
        <is>
          <t>AVESTA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45007</v>
      </c>
      <c r="E295" s="1" t="n">
        <v>46225</v>
      </c>
      <c r="F295" t="inlineStr">
        <is>
          <t>DALARNAS LÄN</t>
        </is>
      </c>
      <c r="G295" t="inlineStr">
        <is>
          <t>AVESTA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44809</v>
      </c>
      <c r="E296" s="1" t="n">
        <v>46225</v>
      </c>
      <c r="F296" t="inlineStr">
        <is>
          <t>DALARNAS LÄN</t>
        </is>
      </c>
      <c r="G296" t="inlineStr">
        <is>
          <t>AVESTA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46225</v>
      </c>
      <c r="F297" t="inlineStr">
        <is>
          <t>DALARNAS LÄN</t>
        </is>
      </c>
      <c r="G297" t="inlineStr">
        <is>
          <t>AVESTA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45505</v>
      </c>
      <c r="E298" s="1" t="n">
        <v>46225</v>
      </c>
      <c r="F298" t="inlineStr">
        <is>
          <t>DALARNAS LÄN</t>
        </is>
      </c>
      <c r="G298" t="inlineStr">
        <is>
          <t>AVESTA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45321</v>
      </c>
      <c r="E299" s="1" t="n">
        <v>46225</v>
      </c>
      <c r="F299" t="inlineStr">
        <is>
          <t>DALARNAS LÄN</t>
        </is>
      </c>
      <c r="G299" t="inlineStr">
        <is>
          <t>AVESTA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44971</v>
      </c>
      <c r="E300" s="1" t="n">
        <v>46225</v>
      </c>
      <c r="F300" t="inlineStr">
        <is>
          <t>DALARNAS LÄN</t>
        </is>
      </c>
      <c r="G300" t="inlineStr">
        <is>
          <t>AVESTA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45123</v>
      </c>
      <c r="E301" s="1" t="n">
        <v>46225</v>
      </c>
      <c r="F301" t="inlineStr">
        <is>
          <t>DALARNAS LÄN</t>
        </is>
      </c>
      <c r="G301" t="inlineStr">
        <is>
          <t>AVESTA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32771-2023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45123</v>
      </c>
      <c r="E302" s="1" t="n">
        <v>46225</v>
      </c>
      <c r="F302" t="inlineStr">
        <is>
          <t>DALARNAS LÄN</t>
        </is>
      </c>
      <c r="G302" t="inlineStr">
        <is>
          <t>AVESTA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46225</v>
      </c>
      <c r="F303" t="inlineStr">
        <is>
          <t>DALARNAS LÄN</t>
        </is>
      </c>
      <c r="G303" t="inlineStr">
        <is>
          <t>AVESTA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45058</v>
      </c>
      <c r="E304" s="1" t="n">
        <v>46225</v>
      </c>
      <c r="F304" t="inlineStr">
        <is>
          <t>DALARNAS LÄN</t>
        </is>
      </c>
      <c r="G304" t="inlineStr">
        <is>
          <t>AVESTA</t>
        </is>
      </c>
      <c r="H304" t="inlineStr">
        <is>
          <t>Bergvik skog väst AB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45694</v>
      </c>
      <c r="E305" s="1" t="n">
        <v>46225</v>
      </c>
      <c r="F305" t="inlineStr">
        <is>
          <t>DALARNAS LÄN</t>
        </is>
      </c>
      <c r="G305" t="inlineStr">
        <is>
          <t>AVESTA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45538</v>
      </c>
      <c r="E306" s="1" t="n">
        <v>46225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45628</v>
      </c>
      <c r="E307" s="1" t="n">
        <v>46225</v>
      </c>
      <c r="F307" t="inlineStr">
        <is>
          <t>DALARNAS LÄN</t>
        </is>
      </c>
      <c r="G307" t="inlineStr">
        <is>
          <t>AVESTA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46225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46225</v>
      </c>
      <c r="F309" t="inlineStr">
        <is>
          <t>DALARNAS LÄN</t>
        </is>
      </c>
      <c r="G309" t="inlineStr">
        <is>
          <t>AVESTA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46225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46225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46225</v>
      </c>
      <c r="F312" t="inlineStr">
        <is>
          <t>DALARNAS LÄN</t>
        </is>
      </c>
      <c r="G312" t="inlineStr">
        <is>
          <t>AVESTA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46225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46225</v>
      </c>
      <c r="F314" t="inlineStr">
        <is>
          <t>DALARNAS LÄN</t>
        </is>
      </c>
      <c r="G314" t="inlineStr">
        <is>
          <t>AVESTA</t>
        </is>
      </c>
      <c r="I314" t="n">
        <v>13.7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46225</v>
      </c>
      <c r="F315" t="inlineStr">
        <is>
          <t>DALARNAS LÄN</t>
        </is>
      </c>
      <c r="G315" t="inlineStr">
        <is>
          <t>AVESTA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45702</v>
      </c>
      <c r="E316" s="1" t="n">
        <v>46225</v>
      </c>
      <c r="F316" t="inlineStr">
        <is>
          <t>DALARNAS LÄN</t>
        </is>
      </c>
      <c r="G316" t="inlineStr">
        <is>
          <t>AVESTA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46225</v>
      </c>
      <c r="F317" t="inlineStr">
        <is>
          <t>DALARNAS LÄN</t>
        </is>
      </c>
      <c r="G317" t="inlineStr">
        <is>
          <t>AVESTA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46225</v>
      </c>
      <c r="F318" t="inlineStr">
        <is>
          <t>DALARNAS LÄN</t>
        </is>
      </c>
      <c r="G318" t="inlineStr">
        <is>
          <t>AVESTA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46225</v>
      </c>
      <c r="F319" t="inlineStr">
        <is>
          <t>DALARNAS LÄN</t>
        </is>
      </c>
      <c r="G319" t="inlineStr">
        <is>
          <t>AVESTA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46225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46225</v>
      </c>
      <c r="F321" t="inlineStr">
        <is>
          <t>DALARNAS LÄN</t>
        </is>
      </c>
      <c r="G321" t="inlineStr">
        <is>
          <t>AVESTA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62093-2024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45656</v>
      </c>
      <c r="E322" s="1" t="n">
        <v>46225</v>
      </c>
      <c r="F322" t="inlineStr">
        <is>
          <t>DALARNAS LÄN</t>
        </is>
      </c>
      <c r="G322" t="inlineStr">
        <is>
          <t>AVESTA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45505</v>
      </c>
      <c r="E323" s="1" t="n">
        <v>46225</v>
      </c>
      <c r="F323" t="inlineStr">
        <is>
          <t>DALARNAS LÄN</t>
        </is>
      </c>
      <c r="G323" t="inlineStr">
        <is>
          <t>AVESTA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46225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46225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46225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46225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46225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46225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46225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46225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2026-07-22T01:37:55Z</dcterms:created>
  <dcterms:modified xmlns:dcterms="http://purl.org/dc/terms/" xmlns:xsi="http://www.w3.org/2001/XMLSchema-instance" xsi:type="dcterms:W3CDTF">2026-07-22T01:37:55Z</dcterms:modified>
</cp:coreProperties>
</file>