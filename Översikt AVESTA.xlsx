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46318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46318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46318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41525-2026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46301</v>
      </c>
      <c r="E7" s="1" t="n">
        <v>46318</v>
      </c>
      <c r="F7" t="inlineStr">
        <is>
          <t>DALARNAS LÄN</t>
        </is>
      </c>
      <c r="G7" t="inlineStr">
        <is>
          <t>AVESTA</t>
        </is>
      </c>
      <c r="I7" t="n">
        <v>11.1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Motaggsvamp
Nordfladdermus
Spillkråka
Svartvit flugsnappare</t>
        </is>
      </c>
      <c r="W7">
        <f>HYPERLINK("https://klasma.github.io/Logging_2084/artfynd/A 41525-2026 artfynd.xlsx", "A 41525-2026")</f>
        <v/>
      </c>
      <c r="X7">
        <f>HYPERLINK("https://klasma.github.io/Logging_2084/kartor/A 41525-2026 karta.png", "A 41525-2026")</f>
        <v/>
      </c>
      <c r="Y7">
        <f>HYPERLINK("https://klasma.github.io/Logging_2084/kartor_geotiff/A 41525-2026 georefererad karta.tif", "A 41525-2026")</f>
        <v/>
      </c>
      <c r="AA7">
        <f>HYPERLINK("https://klasma.github.io/Logging_2084/klagomål/A 41525-2026 FSC-klagomål.docx", "A 41525-2026")</f>
        <v/>
      </c>
      <c r="AB7">
        <f>HYPERLINK("https://klasma.github.io/Logging_2084/klagomålsmail/A 41525-2026 FSC-klagomål mail.docx", "A 41525-2026")</f>
        <v/>
      </c>
      <c r="AC7">
        <f>HYPERLINK("https://klasma.github.io/Logging_2084/tillsyn/A 41525-2026 tillsynsbegäran.docx", "A 41525-2026")</f>
        <v/>
      </c>
      <c r="AD7">
        <f>HYPERLINK("https://klasma.github.io/Logging_2084/tillsynsmail/A 41525-2026 tillsynsbegäran mail.docx", "A 41525-2026")</f>
        <v/>
      </c>
      <c r="AE7">
        <f>HYPERLINK("https://klasma.github.io/Logging_2084/fåglar/A 41525-2026 prioriterade fågelarter.docx", "A 41525-2026")</f>
        <v/>
      </c>
    </row>
    <row r="8" ht="15" customHeight="1">
      <c r="A8" t="inlineStr">
        <is>
          <t>A 20396-2022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44699</v>
      </c>
      <c r="E8" s="1" t="n">
        <v>46318</v>
      </c>
      <c r="F8" t="inlineStr">
        <is>
          <t>DALARNAS LÄN</t>
        </is>
      </c>
      <c r="G8" t="inlineStr">
        <is>
          <t>AVESTA</t>
        </is>
      </c>
      <c r="I8" t="n">
        <v>3.3</v>
      </c>
      <c r="J8" t="n">
        <v>3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23</v>
      </c>
      <c r="U8" t="n">
        <v>23</v>
      </c>
      <c r="V8" s="2" t="inlineStr">
        <is>
          <t>Knärot
Bollvitmossa
Korallrot
Spillkråka</t>
        </is>
      </c>
      <c r="W8">
        <f>HYPERLINK("https://klasma.github.io/Logging_2084/artfynd/A 20396-2022 artfynd.xlsx", "A 20396-2022")</f>
        <v/>
      </c>
      <c r="X8">
        <f>HYPERLINK("https://klasma.github.io/Logging_2084/kartor/A 20396-2022 karta.png", "A 20396-2022")</f>
        <v/>
      </c>
      <c r="Y8">
        <f>HYPERLINK("https://klasma.github.io/Logging_2084/kartor_geotiff/A 20396-2022 georefererad karta.tif", "A 20396-2022")</f>
        <v/>
      </c>
      <c r="Z8">
        <f>HYPERLINK("https://klasma.github.io/Logging_2084/knärot/A 20396-2022 karta knärot.png", "A 20396-2022")</f>
        <v/>
      </c>
      <c r="AA8">
        <f>HYPERLINK("https://klasma.github.io/Logging_2084/klagomål/A 20396-2022 FSC-klagomål.docx", "A 20396-2022")</f>
        <v/>
      </c>
      <c r="AB8">
        <f>HYPERLINK("https://klasma.github.io/Logging_2084/klagomålsmail/A 20396-2022 FSC-klagomål mail.docx", "A 20396-2022")</f>
        <v/>
      </c>
      <c r="AC8">
        <f>HYPERLINK("https://klasma.github.io/Logging_2084/tillsyn/A 20396-2022 tillsynsbegäran.docx", "A 20396-2022")</f>
        <v/>
      </c>
      <c r="AD8">
        <f>HYPERLINK("https://klasma.github.io/Logging_2084/tillsynsmail/A 20396-2022 tillsynsbegäran mail.docx", "A 20396-2022")</f>
        <v/>
      </c>
      <c r="AE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46318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46318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46318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56085-2023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45240</v>
      </c>
      <c r="E12" s="1" t="n">
        <v>46318</v>
      </c>
      <c r="F12" t="inlineStr">
        <is>
          <t>DALARNAS LÄN</t>
        </is>
      </c>
      <c r="G12" t="inlineStr">
        <is>
          <t>AVESTA</t>
        </is>
      </c>
      <c r="I12" t="n">
        <v>2.7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Strandskinnlav
Rostfläck
Hårklomossa</t>
        </is>
      </c>
      <c r="W12">
        <f>HYPERLINK("https://klasma.github.io/Logging_2084/artfynd/A 56085-2023 artfynd.xlsx", "A 56085-2023")</f>
        <v/>
      </c>
      <c r="X12">
        <f>HYPERLINK("https://klasma.github.io/Logging_2084/kartor/A 56085-2023 karta.png", "A 56085-2023")</f>
        <v/>
      </c>
      <c r="Y12">
        <f>HYPERLINK("https://klasma.github.io/Logging_2084/kartor_geotiff/A 56085-2023 georefererad karta.tif", "A 56085-2023")</f>
        <v/>
      </c>
      <c r="AA12">
        <f>HYPERLINK("https://klasma.github.io/Logging_2084/klagomål/A 56085-2023 FSC-klagomål.docx", "A 56085-2023")</f>
        <v/>
      </c>
      <c r="AB12">
        <f>HYPERLINK("https://klasma.github.io/Logging_2084/klagomålsmail/A 56085-2023 FSC-klagomål mail.docx", "A 56085-2023")</f>
        <v/>
      </c>
      <c r="AC12">
        <f>HYPERLINK("https://klasma.github.io/Logging_2084/tillsyn/A 56085-2023 tillsynsbegäran.docx", "A 56085-2023")</f>
        <v/>
      </c>
      <c r="AD12">
        <f>HYPERLINK("https://klasma.github.io/Logging_2084/tillsynsmail/A 56085-2023 tillsynsbegäran mail.docx", "A 56085-2023")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46318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46318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46318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46318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46318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46318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46318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46318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46318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46318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46318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46318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46318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46318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21412-2023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46318</v>
      </c>
      <c r="F27" t="inlineStr">
        <is>
          <t>DALARNAS LÄN</t>
        </is>
      </c>
      <c r="G27" t="inlineStr">
        <is>
          <t>AVESTA</t>
        </is>
      </c>
      <c r="H27" t="inlineStr">
        <is>
          <t>Bergvik skog väst AB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Nattviol</t>
        </is>
      </c>
      <c r="W27">
        <f>HYPERLINK("https://klasma.github.io/Logging_2084/artfynd/A 21412-2023 artfynd.xlsx", "A 21412-2023")</f>
        <v/>
      </c>
      <c r="X27">
        <f>HYPERLINK("https://klasma.github.io/Logging_2084/kartor/A 21412-2023 karta.png", "A 21412-2023")</f>
        <v/>
      </c>
      <c r="Y27">
        <f>HYPERLINK("https://klasma.github.io/Logging_2084/kartor_geotiff/A 21412-2023 georefererad karta.tif", "A 21412-2023")</f>
        <v/>
      </c>
      <c r="AA27">
        <f>HYPERLINK("https://klasma.github.io/Logging_2084/klagomål/A 21412-2023 FSC-klagomål.docx", "A 21412-2023")</f>
        <v/>
      </c>
      <c r="AB27">
        <f>HYPERLINK("https://klasma.github.io/Logging_2084/klagomålsmail/A 21412-2023 FSC-klagomål mail.docx", "A 21412-2023")</f>
        <v/>
      </c>
      <c r="AC27">
        <f>HYPERLINK("https://klasma.github.io/Logging_2084/tillsyn/A 21412-2023 tillsynsbegäran.docx", "A 21412-2023")</f>
        <v/>
      </c>
      <c r="AD27">
        <f>HYPERLINK("https://klasma.github.io/Logging_2084/tillsynsmail/A 21412-2023 tillsynsbegäran mail.docx", "A 21412-2023")</f>
        <v/>
      </c>
    </row>
    <row r="28" ht="15" customHeight="1">
      <c r="A28" t="inlineStr">
        <is>
          <t>A 13553-2025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46318</v>
      </c>
      <c r="F28" t="inlineStr">
        <is>
          <t>DALARNAS LÄN</t>
        </is>
      </c>
      <c r="G28" t="inlineStr">
        <is>
          <t>AVESTA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HYPERLINK("https://klasma.github.io/Logging_2084/artfynd/A 13553-2025 artfynd.xlsx", "A 13553-2025")</f>
        <v/>
      </c>
      <c r="X28">
        <f>HYPERLINK("https://klasma.github.io/Logging_2084/kartor/A 13553-2025 karta.png", "A 13553-2025")</f>
        <v/>
      </c>
      <c r="Y28">
        <f>HYPERLINK("https://klasma.github.io/Logging_2084/kartor_geotiff/A 13553-2025 georefererad karta.tif", "A 13553-2025")</f>
        <v/>
      </c>
      <c r="AA28">
        <f>HYPERLINK("https://klasma.github.io/Logging_2084/klagomål/A 13553-2025 FSC-klagomål.docx", "A 13553-2025")</f>
        <v/>
      </c>
      <c r="AB28">
        <f>HYPERLINK("https://klasma.github.io/Logging_2084/klagomålsmail/A 13553-2025 FSC-klagomål mail.docx", "A 13553-2025")</f>
        <v/>
      </c>
      <c r="AC28">
        <f>HYPERLINK("https://klasma.github.io/Logging_2084/tillsyn/A 13553-2025 tillsynsbegäran.docx", "A 13553-2025")</f>
        <v/>
      </c>
      <c r="AD28">
        <f>HYPERLINK("https://klasma.github.io/Logging_2084/tillsynsmail/A 13553-2025 tillsynsbegäran mail.docx", "A 13553-2025")</f>
        <v/>
      </c>
    </row>
    <row r="29" ht="15" customHeight="1">
      <c r="A29" t="inlineStr">
        <is>
          <t>A 39253-2025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46318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39253-2025 artfynd.xlsx", "A 39253-2025")</f>
        <v/>
      </c>
      <c r="X29">
        <f>HYPERLINK("https://klasma.github.io/Logging_2084/kartor/A 39253-2025 karta.png", "A 39253-2025")</f>
        <v/>
      </c>
      <c r="Y29">
        <f>HYPERLINK("https://klasma.github.io/Logging_2084/kartor_geotiff/A 39253-2025 georefererad karta.tif", "A 39253-2025")</f>
        <v/>
      </c>
      <c r="AA29">
        <f>HYPERLINK("https://klasma.github.io/Logging_2084/klagomål/A 39253-2025 FSC-klagomål.docx", "A 39253-2025")</f>
        <v/>
      </c>
      <c r="AB29">
        <f>HYPERLINK("https://klasma.github.io/Logging_2084/klagomålsmail/A 39253-2025 FSC-klagomål mail.docx", "A 39253-2025")</f>
        <v/>
      </c>
      <c r="AC29">
        <f>HYPERLINK("https://klasma.github.io/Logging_2084/tillsyn/A 39253-2025 tillsynsbegäran.docx", "A 39253-2025")</f>
        <v/>
      </c>
      <c r="AD29">
        <f>HYPERLINK("https://klasma.github.io/Logging_2084/tillsynsmail/A 39253-2025 tillsynsbegäran mail.docx", "A 39253-2025")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46318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46318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56786-2024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45628</v>
      </c>
      <c r="E32" s="1" t="n">
        <v>46318</v>
      </c>
      <c r="F32" t="inlineStr">
        <is>
          <t>DALARNAS LÄN</t>
        </is>
      </c>
      <c r="G32" t="inlineStr">
        <is>
          <t>AVESTA</t>
        </is>
      </c>
      <c r="I32" t="n">
        <v>4.7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Knärot</t>
        </is>
      </c>
      <c r="W32">
        <f>HYPERLINK("https://klasma.github.io/Logging_2084/artfynd/A 56786-2024 artfynd.xlsx", "A 56786-2024")</f>
        <v/>
      </c>
      <c r="X32">
        <f>HYPERLINK("https://klasma.github.io/Logging_2084/kartor/A 56786-2024 karta.png", "A 56786-2024")</f>
        <v/>
      </c>
      <c r="Y32">
        <f>HYPERLINK("https://klasma.github.io/Logging_2084/kartor_geotiff/A 56786-2024 georefererad karta.tif", "A 56786-2024")</f>
        <v/>
      </c>
      <c r="Z32">
        <f>HYPERLINK("https://klasma.github.io/Logging_2084/knärot/A 56786-2024 karta knärot.png", "A 56786-2024")</f>
        <v/>
      </c>
      <c r="AA32">
        <f>HYPERLINK("https://klasma.github.io/Logging_2084/klagomål/A 56786-2024 FSC-klagomål.docx", "A 56786-2024")</f>
        <v/>
      </c>
      <c r="AB32">
        <f>HYPERLINK("https://klasma.github.io/Logging_2084/klagomålsmail/A 56786-2024 FSC-klagomål mail.docx", "A 56786-2024")</f>
        <v/>
      </c>
      <c r="AC32">
        <f>HYPERLINK("https://klasma.github.io/Logging_2084/tillsyn/A 56786-2024 tillsynsbegäran.docx", "A 56786-2024")</f>
        <v/>
      </c>
      <c r="AD32">
        <f>HYPERLINK("https://klasma.github.io/Logging_2084/tillsynsmail/A 56786-2024 tillsynsbegäran mail.docx", "A 56786-2024")</f>
        <v/>
      </c>
    </row>
    <row r="33" ht="15" customHeight="1">
      <c r="A33" t="inlineStr">
        <is>
          <t>A 60446-2025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45995</v>
      </c>
      <c r="E33" s="1" t="n">
        <v>46318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HYPERLINK("https://klasma.github.io/Logging_2084/artfynd/A 60446-2025 artfynd.xlsx", "A 60446-2025")</f>
        <v/>
      </c>
      <c r="X33">
        <f>HYPERLINK("https://klasma.github.io/Logging_2084/kartor/A 60446-2025 karta.png", "A 60446-2025")</f>
        <v/>
      </c>
      <c r="Y33">
        <f>HYPERLINK("https://klasma.github.io/Logging_2084/kartor_geotiff/A 60446-2025 georefererad karta.tif", "A 60446-2025")</f>
        <v/>
      </c>
      <c r="AA33">
        <f>HYPERLINK("https://klasma.github.io/Logging_2084/klagomål/A 60446-2025 FSC-klagomål.docx", "A 60446-2025")</f>
        <v/>
      </c>
      <c r="AB33">
        <f>HYPERLINK("https://klasma.github.io/Logging_2084/klagomålsmail/A 60446-2025 FSC-klagomål mail.docx", "A 60446-2025")</f>
        <v/>
      </c>
      <c r="AC33">
        <f>HYPERLINK("https://klasma.github.io/Logging_2084/tillsyn/A 60446-2025 tillsynsbegäran.docx", "A 60446-2025")</f>
        <v/>
      </c>
      <c r="AD33">
        <f>HYPERLINK("https://klasma.github.io/Logging_2084/tillsynsmail/A 60446-2025 tillsynsbegäran mail.docx", "A 60446-2025")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46318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15987-2026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46318</v>
      </c>
      <c r="F35" t="inlineStr">
        <is>
          <t>DALARNAS LÄN</t>
        </is>
      </c>
      <c r="G35" t="inlineStr">
        <is>
          <t>AVESTA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Lopplummer (aggregat)</t>
        </is>
      </c>
      <c r="W35">
        <f>HYPERLINK("https://klasma.github.io/Logging_2084/artfynd/A 15987-2026 artfynd.xlsx", "A 15987-2026")</f>
        <v/>
      </c>
      <c r="X35">
        <f>HYPERLINK("https://klasma.github.io/Logging_2084/kartor/A 15987-2026 karta.png", "A 15987-2026")</f>
        <v/>
      </c>
      <c r="Y35">
        <f>HYPERLINK("https://klasma.github.io/Logging_2084/kartor_geotiff/A 15987-2026 georefererad karta.tif", "A 15987-2026")</f>
        <v/>
      </c>
      <c r="AA35">
        <f>HYPERLINK("https://klasma.github.io/Logging_2084/klagomål/A 15987-2026 FSC-klagomål.docx", "A 15987-2026")</f>
        <v/>
      </c>
      <c r="AB35">
        <f>HYPERLINK("https://klasma.github.io/Logging_2084/klagomålsmail/A 15987-2026 FSC-klagomål mail.docx", "A 15987-2026")</f>
        <v/>
      </c>
      <c r="AC35">
        <f>HYPERLINK("https://klasma.github.io/Logging_2084/tillsyn/A 15987-2026 tillsynsbegäran.docx", "A 15987-2026")</f>
        <v/>
      </c>
      <c r="AD35">
        <f>HYPERLINK("https://klasma.github.io/Logging_2084/tillsynsmail/A 15987-2026 tillsynsbegäran mail.docx", "A 15987-2026")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46318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46318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46318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A 10943-2024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46318</v>
      </c>
      <c r="F39" t="inlineStr">
        <is>
          <t>DALARNAS LÄN</t>
        </is>
      </c>
      <c r="G39" t="inlineStr">
        <is>
          <t>AVESTA</t>
        </is>
      </c>
      <c r="I39" t="n">
        <v>8.5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Havsörn</t>
        </is>
      </c>
      <c r="W39">
        <f>HYPERLINK("https://klasma.github.io/Logging_2084/artfynd/A 10943-2024 artfynd.xlsx", "A 10943-2024")</f>
        <v/>
      </c>
      <c r="X39">
        <f>HYPERLINK("https://klasma.github.io/Logging_2084/kartor/A 10943-2024 karta.png", "A 10943-2024")</f>
        <v/>
      </c>
      <c r="Y39">
        <f>HYPERLINK("https://klasma.github.io/Logging_2084/kartor_geotiff/A 10943-2024 georefererad karta.tif", "A 10943-2024")</f>
        <v/>
      </c>
      <c r="AA39">
        <f>HYPERLINK("https://klasma.github.io/Logging_2084/klagomål/A 10943-2024 FSC-klagomål.docx", "A 10943-2024")</f>
        <v/>
      </c>
      <c r="AB39">
        <f>HYPERLINK("https://klasma.github.io/Logging_2084/klagomålsmail/A 10943-2024 FSC-klagomål mail.docx", "A 10943-2024")</f>
        <v/>
      </c>
      <c r="AC39">
        <f>HYPERLINK("https://klasma.github.io/Logging_2084/tillsyn/A 10943-2024 tillsynsbegäran.docx", "A 10943-2024")</f>
        <v/>
      </c>
      <c r="AD39">
        <f>HYPERLINK("https://klasma.github.io/Logging_2084/tillsynsmail/A 10943-2024 tillsynsbegäran mail.docx", "A 10943-2024")</f>
        <v/>
      </c>
      <c r="AE39">
        <f>HYPERLINK("https://klasma.github.io/Logging_2084/fåglar/A 10943-2024 prioriterade fågelarter.docx", "A 10943-2024")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46318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46318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46318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46318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46318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46318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46318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46318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46318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46318</v>
      </c>
      <c r="F49" t="inlineStr">
        <is>
          <t>DALARNAS LÄN</t>
        </is>
      </c>
      <c r="G49" t="inlineStr">
        <is>
          <t>AVESTA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46318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46318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46318</v>
      </c>
      <c r="F52" t="inlineStr">
        <is>
          <t>DALARNAS LÄN</t>
        </is>
      </c>
      <c r="G52" t="inlineStr">
        <is>
          <t>AVESTA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46318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13965-2023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45008</v>
      </c>
      <c r="E54" s="1" t="n">
        <v>46318</v>
      </c>
      <c r="F54" t="inlineStr">
        <is>
          <t>DALARNAS LÄN</t>
        </is>
      </c>
      <c r="G54" t="inlineStr">
        <is>
          <t>AVESTA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45505</v>
      </c>
      <c r="E55" s="1" t="n">
        <v>46318</v>
      </c>
      <c r="F55" t="inlineStr">
        <is>
          <t>DALARNAS LÄN</t>
        </is>
      </c>
      <c r="G55" t="inlineStr">
        <is>
          <t>AVESTA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73377-2021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44551</v>
      </c>
      <c r="E56" s="1" t="n">
        <v>46318</v>
      </c>
      <c r="F56" t="inlineStr">
        <is>
          <t>DALARNAS LÄN</t>
        </is>
      </c>
      <c r="G56" t="inlineStr">
        <is>
          <t>AVESTA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24834-2025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45799</v>
      </c>
      <c r="E57" s="1" t="n">
        <v>46318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46318</v>
      </c>
      <c r="F58" t="inlineStr">
        <is>
          <t>DALARNAS LÄN</t>
        </is>
      </c>
      <c r="G58" t="inlineStr">
        <is>
          <t>AVESTA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46318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46318</v>
      </c>
      <c r="F60" t="inlineStr">
        <is>
          <t>DALARNAS LÄN</t>
        </is>
      </c>
      <c r="G60" t="inlineStr">
        <is>
          <t>AVESTA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46318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45803</v>
      </c>
      <c r="E62" s="1" t="n">
        <v>46318</v>
      </c>
      <c r="F62" t="inlineStr">
        <is>
          <t>DALARNAS LÄN</t>
        </is>
      </c>
      <c r="G62" t="inlineStr">
        <is>
          <t>AVESTA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44966</v>
      </c>
      <c r="E63" s="1" t="n">
        <v>46318</v>
      </c>
      <c r="F63" t="inlineStr">
        <is>
          <t>DALARNAS LÄN</t>
        </is>
      </c>
      <c r="G63" t="inlineStr">
        <is>
          <t>AVESTA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46318</v>
      </c>
      <c r="F64" t="inlineStr">
        <is>
          <t>DALARNAS LÄN</t>
        </is>
      </c>
      <c r="G64" t="inlineStr">
        <is>
          <t>AVESTA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45210</v>
      </c>
      <c r="E65" s="1" t="n">
        <v>46318</v>
      </c>
      <c r="F65" t="inlineStr">
        <is>
          <t>DALARNAS LÄN</t>
        </is>
      </c>
      <c r="G65" t="inlineStr">
        <is>
          <t>AVESTA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44971</v>
      </c>
      <c r="E66" s="1" t="n">
        <v>46318</v>
      </c>
      <c r="F66" t="inlineStr">
        <is>
          <t>DALARNAS LÄN</t>
        </is>
      </c>
      <c r="G66" t="inlineStr">
        <is>
          <t>AVESTA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46318</v>
      </c>
      <c r="F67" t="inlineStr">
        <is>
          <t>DALARNAS LÄN</t>
        </is>
      </c>
      <c r="G67" t="inlineStr">
        <is>
          <t>AVESTA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46318</v>
      </c>
      <c r="F68" t="inlineStr">
        <is>
          <t>DALARNAS LÄN</t>
        </is>
      </c>
      <c r="G68" t="inlineStr">
        <is>
          <t>AVESTA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46318</v>
      </c>
      <c r="F69" t="inlineStr">
        <is>
          <t>DALARNAS LÄN</t>
        </is>
      </c>
      <c r="G69" t="inlineStr">
        <is>
          <t>AVESTA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45082</v>
      </c>
      <c r="E70" s="1" t="n">
        <v>46318</v>
      </c>
      <c r="F70" t="inlineStr">
        <is>
          <t>DALARNAS LÄN</t>
        </is>
      </c>
      <c r="G70" t="inlineStr">
        <is>
          <t>AVESTA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46318</v>
      </c>
      <c r="F71" t="inlineStr">
        <is>
          <t>DALARNAS LÄN</t>
        </is>
      </c>
      <c r="G71" t="inlineStr">
        <is>
          <t>AVESTA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46318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44967</v>
      </c>
      <c r="E73" s="1" t="n">
        <v>46318</v>
      </c>
      <c r="F73" t="inlineStr">
        <is>
          <t>DALARNAS LÄN</t>
        </is>
      </c>
      <c r="G73" t="inlineStr">
        <is>
          <t>AVESTA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44734</v>
      </c>
      <c r="E74" s="1" t="n">
        <v>46318</v>
      </c>
      <c r="F74" t="inlineStr">
        <is>
          <t>DALARNAS LÄN</t>
        </is>
      </c>
      <c r="G74" t="inlineStr">
        <is>
          <t>AVESTA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61585-2023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46318</v>
      </c>
      <c r="F75" t="inlineStr">
        <is>
          <t>DALARNAS LÄN</t>
        </is>
      </c>
      <c r="G75" t="inlineStr">
        <is>
          <t>AVESTA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45123</v>
      </c>
      <c r="E76" s="1" t="n">
        <v>46318</v>
      </c>
      <c r="F76" t="inlineStr">
        <is>
          <t>DALARNAS LÄN</t>
        </is>
      </c>
      <c r="G76" t="inlineStr">
        <is>
          <t>AVESTA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32771-2023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45123</v>
      </c>
      <c r="E77" s="1" t="n">
        <v>46318</v>
      </c>
      <c r="F77" t="inlineStr">
        <is>
          <t>DALARNAS LÄN</t>
        </is>
      </c>
      <c r="G77" t="inlineStr">
        <is>
          <t>AVESTA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45314</v>
      </c>
      <c r="E78" s="1" t="n">
        <v>46318</v>
      </c>
      <c r="F78" t="inlineStr">
        <is>
          <t>DALARNAS LÄN</t>
        </is>
      </c>
      <c r="G78" t="inlineStr">
        <is>
          <t>AVESTA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46318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64561-2023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45281</v>
      </c>
      <c r="E80" s="1" t="n">
        <v>46318</v>
      </c>
      <c r="F80" t="inlineStr">
        <is>
          <t>DALARNAS LÄN</t>
        </is>
      </c>
      <c r="G80" t="inlineStr">
        <is>
          <t>AVESTA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46318</v>
      </c>
      <c r="F81" t="inlineStr">
        <is>
          <t>DALARNAS LÄN</t>
        </is>
      </c>
      <c r="G81" t="inlineStr">
        <is>
          <t>AVESTA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14084-2023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46318</v>
      </c>
      <c r="F82" t="inlineStr">
        <is>
          <t>DALARNAS LÄN</t>
        </is>
      </c>
      <c r="G82" t="inlineStr">
        <is>
          <t>AVESTA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46318</v>
      </c>
      <c r="F83" t="inlineStr">
        <is>
          <t>DALARNAS LÄN</t>
        </is>
      </c>
      <c r="G83" t="inlineStr">
        <is>
          <t>AVESTA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45019</v>
      </c>
      <c r="E84" s="1" t="n">
        <v>46318</v>
      </c>
      <c r="F84" t="inlineStr">
        <is>
          <t>DALARNAS LÄN</t>
        </is>
      </c>
      <c r="G84" t="inlineStr">
        <is>
          <t>AVESTA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45496</v>
      </c>
      <c r="E85" s="1" t="n">
        <v>46318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45514</v>
      </c>
      <c r="E86" s="1" t="n">
        <v>46318</v>
      </c>
      <c r="F86" t="inlineStr">
        <is>
          <t>DALARNAS LÄN</t>
        </is>
      </c>
      <c r="G86" t="inlineStr">
        <is>
          <t>AVESTA</t>
        </is>
      </c>
      <c r="H86" t="inlineStr">
        <is>
          <t>Bergvik skog väst AB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46318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46318</v>
      </c>
      <c r="F88" t="inlineStr">
        <is>
          <t>DALARNAS LÄN</t>
        </is>
      </c>
      <c r="G88" t="inlineStr">
        <is>
          <t>AVESTA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46318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46318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46318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46318</v>
      </c>
      <c r="F92" t="inlineStr">
        <is>
          <t>DALARNAS LÄN</t>
        </is>
      </c>
      <c r="G92" t="inlineStr">
        <is>
          <t>AVESTA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46318</v>
      </c>
      <c r="F93" t="inlineStr">
        <is>
          <t>DALARNAS LÄN</t>
        </is>
      </c>
      <c r="G93" t="inlineStr">
        <is>
          <t>AVESTA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46318</v>
      </c>
      <c r="F94" t="inlineStr">
        <is>
          <t>DALARNAS LÄN</t>
        </is>
      </c>
      <c r="G94" t="inlineStr">
        <is>
          <t>AVESTA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45863</v>
      </c>
      <c r="E95" s="1" t="n">
        <v>46318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45863</v>
      </c>
      <c r="E96" s="1" t="n">
        <v>46318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45863</v>
      </c>
      <c r="E97" s="1" t="n">
        <v>46318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45867</v>
      </c>
      <c r="E98" s="1" t="n">
        <v>46318</v>
      </c>
      <c r="F98" t="inlineStr">
        <is>
          <t>DALARNAS LÄN</t>
        </is>
      </c>
      <c r="G98" t="inlineStr">
        <is>
          <t>AVESTA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45910</v>
      </c>
      <c r="E99" s="1" t="n">
        <v>46318</v>
      </c>
      <c r="F99" t="inlineStr">
        <is>
          <t>DALARNAS LÄN</t>
        </is>
      </c>
      <c r="G99" t="inlineStr">
        <is>
          <t>AVESTA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46318</v>
      </c>
      <c r="F100" t="inlineStr">
        <is>
          <t>DALARNAS LÄN</t>
        </is>
      </c>
      <c r="G100" t="inlineStr">
        <is>
          <t>AVESTA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46318</v>
      </c>
      <c r="F101" t="inlineStr">
        <is>
          <t>DALARNAS LÄN</t>
        </is>
      </c>
      <c r="G101" t="inlineStr">
        <is>
          <t>AVESTA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46318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9403-2022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46318</v>
      </c>
      <c r="F103" t="inlineStr">
        <is>
          <t>DALARNAS LÄN</t>
        </is>
      </c>
      <c r="G103" t="inlineStr">
        <is>
          <t>AVESTA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46318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46318</v>
      </c>
      <c r="F105" t="inlineStr">
        <is>
          <t>DALARNAS LÄN</t>
        </is>
      </c>
      <c r="G105" t="inlineStr">
        <is>
          <t>AVESTA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46318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58094-2022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46318</v>
      </c>
      <c r="F107" t="inlineStr">
        <is>
          <t>DALARNAS LÄN</t>
        </is>
      </c>
      <c r="G107" t="inlineStr">
        <is>
          <t>AVESTA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46318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46318</v>
      </c>
      <c r="F109" t="inlineStr">
        <is>
          <t>DALARNAS LÄN</t>
        </is>
      </c>
      <c r="G109" t="inlineStr">
        <is>
          <t>AVESTA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46318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46318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46318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46318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45549</v>
      </c>
      <c r="E114" s="1" t="n">
        <v>46318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45138</v>
      </c>
      <c r="E115" s="1" t="n">
        <v>46318</v>
      </c>
      <c r="F115" t="inlineStr">
        <is>
          <t>DALARNAS LÄN</t>
        </is>
      </c>
      <c r="G115" t="inlineStr">
        <is>
          <t>AVESTA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45866</v>
      </c>
      <c r="E116" s="1" t="n">
        <v>46318</v>
      </c>
      <c r="F116" t="inlineStr">
        <is>
          <t>DALARNAS LÄN</t>
        </is>
      </c>
      <c r="G116" t="inlineStr">
        <is>
          <t>AVESTA</t>
        </is>
      </c>
      <c r="I116" t="n">
        <v>10.6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46318</v>
      </c>
      <c r="F117" t="inlineStr">
        <is>
          <t>DALARNAS LÄN</t>
        </is>
      </c>
      <c r="G117" t="inlineStr">
        <is>
          <t>AVESTA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44855</v>
      </c>
      <c r="E118" s="1" t="n">
        <v>46318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46318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46318</v>
      </c>
      <c r="F120" t="inlineStr">
        <is>
          <t>DALARNAS LÄN</t>
        </is>
      </c>
      <c r="G120" t="inlineStr">
        <is>
          <t>AVESTA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46318</v>
      </c>
      <c r="F121" t="inlineStr">
        <is>
          <t>DALARNAS LÄN</t>
        </is>
      </c>
      <c r="G121" t="inlineStr">
        <is>
          <t>AVESTA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46318</v>
      </c>
      <c r="F122" t="inlineStr">
        <is>
          <t>DALARNAS LÄN</t>
        </is>
      </c>
      <c r="G122" t="inlineStr">
        <is>
          <t>AVESTA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46318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46318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46318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45511</v>
      </c>
      <c r="E126" s="1" t="n">
        <v>46318</v>
      </c>
      <c r="F126" t="inlineStr">
        <is>
          <t>DALARNAS LÄN</t>
        </is>
      </c>
      <c r="G126" t="inlineStr">
        <is>
          <t>AVESTA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45948</v>
      </c>
      <c r="E127" s="1" t="n">
        <v>46318</v>
      </c>
      <c r="F127" t="inlineStr">
        <is>
          <t>DALARNAS LÄN</t>
        </is>
      </c>
      <c r="G127" t="inlineStr">
        <is>
          <t>AVESTA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45447</v>
      </c>
      <c r="E128" s="1" t="n">
        <v>46318</v>
      </c>
      <c r="F128" t="inlineStr">
        <is>
          <t>DALARNAS LÄN</t>
        </is>
      </c>
      <c r="G128" t="inlineStr">
        <is>
          <t>AVESTA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45948</v>
      </c>
      <c r="E129" s="1" t="n">
        <v>46318</v>
      </c>
      <c r="F129" t="inlineStr">
        <is>
          <t>DALARNAS LÄN</t>
        </is>
      </c>
      <c r="G129" t="inlineStr">
        <is>
          <t>AVESTA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46318</v>
      </c>
      <c r="F130" t="inlineStr">
        <is>
          <t>DALARNAS LÄN</t>
        </is>
      </c>
      <c r="G130" t="inlineStr">
        <is>
          <t>AVESTA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46318</v>
      </c>
      <c r="F131" t="inlineStr">
        <is>
          <t>DALARNAS LÄN</t>
        </is>
      </c>
      <c r="G131" t="inlineStr">
        <is>
          <t>AVESTA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46318</v>
      </c>
      <c r="F132" t="inlineStr">
        <is>
          <t>DALARNAS LÄN</t>
        </is>
      </c>
      <c r="G132" t="inlineStr">
        <is>
          <t>AVESTA</t>
        </is>
      </c>
      <c r="I132" t="n">
        <v>12.9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46318</v>
      </c>
      <c r="F133" t="inlineStr">
        <is>
          <t>DALARNAS LÄN</t>
        </is>
      </c>
      <c r="G133" t="inlineStr">
        <is>
          <t>AVESTA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46318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46318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46318</v>
      </c>
      <c r="F136" t="inlineStr">
        <is>
          <t>DALARNAS LÄN</t>
        </is>
      </c>
      <c r="G136" t="inlineStr">
        <is>
          <t>AVESTA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46318</v>
      </c>
      <c r="F137" t="inlineStr">
        <is>
          <t>DALARNAS LÄN</t>
        </is>
      </c>
      <c r="G137" t="inlineStr">
        <is>
          <t>AVESTA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46318</v>
      </c>
      <c r="F138" t="inlineStr">
        <is>
          <t>DALARNAS LÄN</t>
        </is>
      </c>
      <c r="G138" t="inlineStr">
        <is>
          <t>AVESTA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46318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46318</v>
      </c>
      <c r="F140" t="inlineStr">
        <is>
          <t>DALARNAS LÄN</t>
        </is>
      </c>
      <c r="G140" t="inlineStr">
        <is>
          <t>AVESTA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45473</v>
      </c>
      <c r="E141" s="1" t="n">
        <v>46318</v>
      </c>
      <c r="F141" t="inlineStr">
        <is>
          <t>DALARNAS LÄN</t>
        </is>
      </c>
      <c r="G141" t="inlineStr">
        <is>
          <t>AVESTA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46318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46318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46318</v>
      </c>
      <c r="F144" t="inlineStr">
        <is>
          <t>DALARNAS LÄN</t>
        </is>
      </c>
      <c r="G144" t="inlineStr">
        <is>
          <t>AVESTA</t>
        </is>
      </c>
      <c r="H144" t="inlineStr">
        <is>
          <t>Bergvik skog väst AB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45369</v>
      </c>
      <c r="E145" s="1" t="n">
        <v>46318</v>
      </c>
      <c r="F145" t="inlineStr">
        <is>
          <t>DALARNAS LÄN</t>
        </is>
      </c>
      <c r="G145" t="inlineStr">
        <is>
          <t>AVESTA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46318</v>
      </c>
      <c r="F146" t="inlineStr">
        <is>
          <t>DALARNAS LÄN</t>
        </is>
      </c>
      <c r="G146" t="inlineStr">
        <is>
          <t>AVESTA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21028-2026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46146</v>
      </c>
      <c r="E147" s="1" t="n">
        <v>46318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46318</v>
      </c>
      <c r="F148" t="inlineStr">
        <is>
          <t>DALARNAS LÄN</t>
        </is>
      </c>
      <c r="G148" t="inlineStr">
        <is>
          <t>AVESTA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46318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46318</v>
      </c>
      <c r="F150" t="inlineStr">
        <is>
          <t>DALARNAS LÄN</t>
        </is>
      </c>
      <c r="G150" t="inlineStr">
        <is>
          <t>AVESTA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46318</v>
      </c>
      <c r="F151" t="inlineStr">
        <is>
          <t>DALARNAS LÄN</t>
        </is>
      </c>
      <c r="G151" t="inlineStr">
        <is>
          <t>AVESTA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46318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46318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46318</v>
      </c>
      <c r="F154" t="inlineStr">
        <is>
          <t>DALARNAS LÄN</t>
        </is>
      </c>
      <c r="G154" t="inlineStr">
        <is>
          <t>AVESTA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50681-2024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45602</v>
      </c>
      <c r="E155" s="1" t="n">
        <v>46318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46155</v>
      </c>
      <c r="E156" s="1" t="n">
        <v>46318</v>
      </c>
      <c r="F156" t="inlineStr">
        <is>
          <t>DALARNAS LÄN</t>
        </is>
      </c>
      <c r="G156" t="inlineStr">
        <is>
          <t>AVESTA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46318</v>
      </c>
      <c r="F157" t="inlineStr">
        <is>
          <t>DALARNAS LÄN</t>
        </is>
      </c>
      <c r="G157" t="inlineStr">
        <is>
          <t>AVESTA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46318</v>
      </c>
      <c r="F158" t="inlineStr">
        <is>
          <t>DALARNAS LÄN</t>
        </is>
      </c>
      <c r="G158" t="inlineStr">
        <is>
          <t>AVESTA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46318</v>
      </c>
      <c r="F159" t="inlineStr">
        <is>
          <t>DALARNAS LÄN</t>
        </is>
      </c>
      <c r="G159" t="inlineStr">
        <is>
          <t>AVESTA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46155</v>
      </c>
      <c r="E160" s="1" t="n">
        <v>46318</v>
      </c>
      <c r="F160" t="inlineStr">
        <is>
          <t>DALARNAS LÄN</t>
        </is>
      </c>
      <c r="G160" t="inlineStr">
        <is>
          <t>AVESTA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46155</v>
      </c>
      <c r="E161" s="1" t="n">
        <v>46318</v>
      </c>
      <c r="F161" t="inlineStr">
        <is>
          <t>DALARNAS LÄN</t>
        </is>
      </c>
      <c r="G161" t="inlineStr">
        <is>
          <t>AVESTA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46318</v>
      </c>
      <c r="F162" t="inlineStr">
        <is>
          <t>DALARNAS LÄN</t>
        </is>
      </c>
      <c r="G162" t="inlineStr">
        <is>
          <t>AVESTA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46318</v>
      </c>
      <c r="F163" t="inlineStr">
        <is>
          <t>DALARNAS LÄN</t>
        </is>
      </c>
      <c r="G163" t="inlineStr">
        <is>
          <t>AVESTA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19359-2025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45769</v>
      </c>
      <c r="E164" s="1" t="n">
        <v>46318</v>
      </c>
      <c r="F164" t="inlineStr">
        <is>
          <t>DALARNAS LÄN</t>
        </is>
      </c>
      <c r="G164" t="inlineStr">
        <is>
          <t>AVESTA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44739</v>
      </c>
      <c r="E165" s="1" t="n">
        <v>46318</v>
      </c>
      <c r="F165" t="inlineStr">
        <is>
          <t>DALARNAS LÄN</t>
        </is>
      </c>
      <c r="G165" t="inlineStr">
        <is>
          <t>AVESTA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46318</v>
      </c>
      <c r="F166" t="inlineStr">
        <is>
          <t>DALARNAS LÄN</t>
        </is>
      </c>
      <c r="G166" t="inlineStr">
        <is>
          <t>AVESTA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46318</v>
      </c>
      <c r="F167" t="inlineStr">
        <is>
          <t>DALARNAS LÄN</t>
        </is>
      </c>
      <c r="G167" t="inlineStr">
        <is>
          <t>AVESTA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46318</v>
      </c>
      <c r="F168" t="inlineStr">
        <is>
          <t>DALARNAS LÄN</t>
        </is>
      </c>
      <c r="G168" t="inlineStr">
        <is>
          <t>AVESTA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46318</v>
      </c>
      <c r="F169" t="inlineStr">
        <is>
          <t>DALARNAS LÄN</t>
        </is>
      </c>
      <c r="G169" t="inlineStr">
        <is>
          <t>AVESTA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61507-2024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46318</v>
      </c>
      <c r="F170" t="inlineStr">
        <is>
          <t>DALARNAS LÄN</t>
        </is>
      </c>
      <c r="G170" t="inlineStr">
        <is>
          <t>AVESTA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45598</v>
      </c>
      <c r="E171" s="1" t="n">
        <v>46318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45598</v>
      </c>
      <c r="E172" s="1" t="n">
        <v>46318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46318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46318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46318</v>
      </c>
      <c r="F175" t="inlineStr">
        <is>
          <t>DALARNAS LÄN</t>
        </is>
      </c>
      <c r="G175" t="inlineStr">
        <is>
          <t>AVESTA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46318</v>
      </c>
      <c r="F176" t="inlineStr">
        <is>
          <t>DALARNAS LÄN</t>
        </is>
      </c>
      <c r="G176" t="inlineStr">
        <is>
          <t>AVESTA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46318</v>
      </c>
      <c r="F177" t="inlineStr">
        <is>
          <t>DALARNAS LÄN</t>
        </is>
      </c>
      <c r="G177" t="inlineStr">
        <is>
          <t>AVESTA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32770-2023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45123</v>
      </c>
      <c r="E178" s="1" t="n">
        <v>46318</v>
      </c>
      <c r="F178" t="inlineStr">
        <is>
          <t>DALARNAS LÄN</t>
        </is>
      </c>
      <c r="G178" t="inlineStr">
        <is>
          <t>AVESTA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46318</v>
      </c>
      <c r="F179" t="inlineStr">
        <is>
          <t>DALARNAS LÄN</t>
        </is>
      </c>
      <c r="G179" t="inlineStr">
        <is>
          <t>AVESTA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64102-2025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46021</v>
      </c>
      <c r="E180" s="1" t="n">
        <v>46318</v>
      </c>
      <c r="F180" t="inlineStr">
        <is>
          <t>DALARNAS LÄN</t>
        </is>
      </c>
      <c r="G180" t="inlineStr">
        <is>
          <t>AVESTA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46318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46318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46318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46318</v>
      </c>
      <c r="F184" t="inlineStr">
        <is>
          <t>DALARNAS LÄN</t>
        </is>
      </c>
      <c r="G184" t="inlineStr">
        <is>
          <t>AVESTA</t>
        </is>
      </c>
      <c r="I184" t="n">
        <v>19.2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46318</v>
      </c>
      <c r="F185" t="inlineStr">
        <is>
          <t>DALARNAS LÄN</t>
        </is>
      </c>
      <c r="G185" t="inlineStr">
        <is>
          <t>AVESTA</t>
        </is>
      </c>
      <c r="H185" t="inlineStr">
        <is>
          <t>Bergvik skog väst AB</t>
        </is>
      </c>
      <c r="I185" t="n">
        <v>37.2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46318</v>
      </c>
      <c r="F186" t="inlineStr">
        <is>
          <t>DALARNAS LÄN</t>
        </is>
      </c>
      <c r="G186" t="inlineStr">
        <is>
          <t>AVESTA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46318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46318</v>
      </c>
      <c r="F188" t="inlineStr">
        <is>
          <t>DALARNAS LÄN</t>
        </is>
      </c>
      <c r="G188" t="inlineStr">
        <is>
          <t>AVESTA</t>
        </is>
      </c>
      <c r="H188" t="inlineStr">
        <is>
          <t>Bergvik skog väst AB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45639</v>
      </c>
      <c r="E189" s="1" t="n">
        <v>46318</v>
      </c>
      <c r="F189" t="inlineStr">
        <is>
          <t>DALARNAS LÄN</t>
        </is>
      </c>
      <c r="G189" t="inlineStr">
        <is>
          <t>AVESTA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46318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46124</v>
      </c>
      <c r="E191" s="1" t="n">
        <v>46318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46318</v>
      </c>
      <c r="F192" t="inlineStr">
        <is>
          <t>DALARNAS LÄN</t>
        </is>
      </c>
      <c r="G192" t="inlineStr">
        <is>
          <t>AVESTA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46318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46318</v>
      </c>
      <c r="F194" t="inlineStr">
        <is>
          <t>DALARNAS LÄN</t>
        </is>
      </c>
      <c r="G194" t="inlineStr">
        <is>
          <t>AVESTA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45269</v>
      </c>
      <c r="E195" s="1" t="n">
        <v>46318</v>
      </c>
      <c r="F195" t="inlineStr">
        <is>
          <t>DALARNAS LÄN</t>
        </is>
      </c>
      <c r="G195" t="inlineStr">
        <is>
          <t>AVESTA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20942-2025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45777</v>
      </c>
      <c r="E196" s="1" t="n">
        <v>46318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46318</v>
      </c>
      <c r="F197" t="inlineStr">
        <is>
          <t>DALARNAS LÄN</t>
        </is>
      </c>
      <c r="G197" t="inlineStr">
        <is>
          <t>AVESTA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46318</v>
      </c>
      <c r="F198" t="inlineStr">
        <is>
          <t>DALARNAS LÄN</t>
        </is>
      </c>
      <c r="G198" t="inlineStr">
        <is>
          <t>AVESTA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46318</v>
      </c>
      <c r="F199" t="inlineStr">
        <is>
          <t>DALARNAS LÄN</t>
        </is>
      </c>
      <c r="G199" t="inlineStr">
        <is>
          <t>AVESTA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45751</v>
      </c>
      <c r="E200" s="1" t="n">
        <v>46318</v>
      </c>
      <c r="F200" t="inlineStr">
        <is>
          <t>DALARNAS LÄN</t>
        </is>
      </c>
      <c r="G200" t="inlineStr">
        <is>
          <t>AVESTA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46318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45553</v>
      </c>
      <c r="E202" s="1" t="n">
        <v>46318</v>
      </c>
      <c r="F202" t="inlineStr">
        <is>
          <t>DALARNAS LÄN</t>
        </is>
      </c>
      <c r="G202" t="inlineStr">
        <is>
          <t>AVESTA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46318</v>
      </c>
      <c r="F203" t="inlineStr">
        <is>
          <t>DALARNAS LÄN</t>
        </is>
      </c>
      <c r="G203" t="inlineStr">
        <is>
          <t>AVESTA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46318</v>
      </c>
      <c r="F204" t="inlineStr">
        <is>
          <t>DALARNAS LÄN</t>
        </is>
      </c>
      <c r="G204" t="inlineStr">
        <is>
          <t>AVESTA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46318</v>
      </c>
      <c r="F205" t="inlineStr">
        <is>
          <t>DALARNAS LÄN</t>
        </is>
      </c>
      <c r="G205" t="inlineStr">
        <is>
          <t>AVESTA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46318</v>
      </c>
      <c r="F206" t="inlineStr">
        <is>
          <t>DALARNAS LÄN</t>
        </is>
      </c>
      <c r="G206" t="inlineStr">
        <is>
          <t>AVESTA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45499</v>
      </c>
      <c r="E207" s="1" t="n">
        <v>46318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46318</v>
      </c>
      <c r="F208" t="inlineStr">
        <is>
          <t>DALARNAS LÄN</t>
        </is>
      </c>
      <c r="G208" t="inlineStr">
        <is>
          <t>AVESTA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46318</v>
      </c>
      <c r="F209" t="inlineStr">
        <is>
          <t>DALARNAS LÄN</t>
        </is>
      </c>
      <c r="G209" t="inlineStr">
        <is>
          <t>AVESTA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45510</v>
      </c>
      <c r="E210" s="1" t="n">
        <v>46318</v>
      </c>
      <c r="F210" t="inlineStr">
        <is>
          <t>DALARNAS LÄN</t>
        </is>
      </c>
      <c r="G210" t="inlineStr">
        <is>
          <t>AVESTA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46318</v>
      </c>
      <c r="F211" t="inlineStr">
        <is>
          <t>DALARNAS LÄN</t>
        </is>
      </c>
      <c r="G211" t="inlineStr">
        <is>
          <t>AVESTA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45316</v>
      </c>
      <c r="E212" s="1" t="n">
        <v>46318</v>
      </c>
      <c r="F212" t="inlineStr">
        <is>
          <t>DALARNAS LÄN</t>
        </is>
      </c>
      <c r="G212" t="inlineStr">
        <is>
          <t>AVESTA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46318</v>
      </c>
      <c r="F213" t="inlineStr">
        <is>
          <t>DALARNAS LÄN</t>
        </is>
      </c>
      <c r="G213" t="inlineStr">
        <is>
          <t>AVESTA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44746</v>
      </c>
      <c r="E214" s="1" t="n">
        <v>46318</v>
      </c>
      <c r="F214" t="inlineStr">
        <is>
          <t>DALARNAS LÄN</t>
        </is>
      </c>
      <c r="G214" t="inlineStr">
        <is>
          <t>AVESTA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45796</v>
      </c>
      <c r="E215" s="1" t="n">
        <v>46318</v>
      </c>
      <c r="F215" t="inlineStr">
        <is>
          <t>DALARNAS LÄN</t>
        </is>
      </c>
      <c r="G215" t="inlineStr">
        <is>
          <t>AVESTA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46318</v>
      </c>
      <c r="F216" t="inlineStr">
        <is>
          <t>DALARNAS LÄN</t>
        </is>
      </c>
      <c r="G216" t="inlineStr">
        <is>
          <t>AVESTA</t>
        </is>
      </c>
      <c r="I216" t="n">
        <v>13.7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46318</v>
      </c>
      <c r="F217" t="inlineStr">
        <is>
          <t>DALARNAS LÄN</t>
        </is>
      </c>
      <c r="G217" t="inlineStr">
        <is>
          <t>AVESTA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45702</v>
      </c>
      <c r="E218" s="1" t="n">
        <v>46318</v>
      </c>
      <c r="F218" t="inlineStr">
        <is>
          <t>DALARNAS LÄN</t>
        </is>
      </c>
      <c r="G218" t="inlineStr">
        <is>
          <t>AVESTA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45796</v>
      </c>
      <c r="E219" s="1" t="n">
        <v>46318</v>
      </c>
      <c r="F219" t="inlineStr">
        <is>
          <t>DALARNAS LÄN</t>
        </is>
      </c>
      <c r="G219" t="inlineStr">
        <is>
          <t>AVESTA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45796</v>
      </c>
      <c r="E220" s="1" t="n">
        <v>46318</v>
      </c>
      <c r="F220" t="inlineStr">
        <is>
          <t>DALARNAS LÄN</t>
        </is>
      </c>
      <c r="G220" t="inlineStr">
        <is>
          <t>AVESTA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45796</v>
      </c>
      <c r="E221" s="1" t="n">
        <v>46318</v>
      </c>
      <c r="F221" t="inlineStr">
        <is>
          <t>DALARNAS LÄN</t>
        </is>
      </c>
      <c r="G221" t="inlineStr">
        <is>
          <t>AVESTA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28227-2026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46196</v>
      </c>
      <c r="E222" s="1" t="n">
        <v>46318</v>
      </c>
      <c r="F222" t="inlineStr">
        <is>
          <t>DALARNAS LÄN</t>
        </is>
      </c>
      <c r="G222" t="inlineStr">
        <is>
          <t>AVESTA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62093-2024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45656</v>
      </c>
      <c r="E223" s="1" t="n">
        <v>46318</v>
      </c>
      <c r="F223" t="inlineStr">
        <is>
          <t>DALARNAS LÄN</t>
        </is>
      </c>
      <c r="G223" t="inlineStr">
        <is>
          <t>AVESTA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45505</v>
      </c>
      <c r="E224" s="1" t="n">
        <v>46318</v>
      </c>
      <c r="F224" t="inlineStr">
        <is>
          <t>DALARNAS LÄN</t>
        </is>
      </c>
      <c r="G224" t="inlineStr">
        <is>
          <t>AVESTA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46318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46318</v>
      </c>
      <c r="F226" t="inlineStr">
        <is>
          <t>DALARNAS LÄN</t>
        </is>
      </c>
      <c r="G226" t="inlineStr">
        <is>
          <t>AVESTA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46318</v>
      </c>
      <c r="F227" t="inlineStr">
        <is>
          <t>DALARNAS LÄN</t>
        </is>
      </c>
      <c r="G227" t="inlineStr">
        <is>
          <t>AVESTA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46198</v>
      </c>
      <c r="E228" s="1" t="n">
        <v>46318</v>
      </c>
      <c r="F228" t="inlineStr">
        <is>
          <t>DALARNAS LÄN</t>
        </is>
      </c>
      <c r="G228" t="inlineStr">
        <is>
          <t>AVESTA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46318</v>
      </c>
      <c r="F229" t="inlineStr">
        <is>
          <t>DALARNAS LÄN</t>
        </is>
      </c>
      <c r="G229" t="inlineStr">
        <is>
          <t>AVESTA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46318</v>
      </c>
      <c r="F230" t="inlineStr">
        <is>
          <t>DALARNAS LÄN</t>
        </is>
      </c>
      <c r="G230" t="inlineStr">
        <is>
          <t>AVESTA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46318</v>
      </c>
      <c r="F231" t="inlineStr">
        <is>
          <t>DALARNAS LÄN</t>
        </is>
      </c>
      <c r="G231" t="inlineStr">
        <is>
          <t>AVESTA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46318</v>
      </c>
      <c r="F232" t="inlineStr">
        <is>
          <t>DALARNAS LÄN</t>
        </is>
      </c>
      <c r="G232" t="inlineStr">
        <is>
          <t>AVESTA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46318</v>
      </c>
      <c r="F233" t="inlineStr">
        <is>
          <t>DALARNAS LÄN</t>
        </is>
      </c>
      <c r="G233" t="inlineStr">
        <is>
          <t>AVESTA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46318</v>
      </c>
      <c r="F234" t="inlineStr">
        <is>
          <t>DALARNAS LÄN</t>
        </is>
      </c>
      <c r="G234" t="inlineStr">
        <is>
          <t>AVESTA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46318</v>
      </c>
      <c r="F235" t="inlineStr">
        <is>
          <t>DALARNAS LÄN</t>
        </is>
      </c>
      <c r="G235" t="inlineStr">
        <is>
          <t>AVESTA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46318</v>
      </c>
      <c r="F236" t="inlineStr">
        <is>
          <t>DALARNAS LÄN</t>
        </is>
      </c>
      <c r="G236" t="inlineStr">
        <is>
          <t>AVESTA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46318</v>
      </c>
      <c r="F237" t="inlineStr">
        <is>
          <t>DALARNAS LÄN</t>
        </is>
      </c>
      <c r="G237" t="inlineStr">
        <is>
          <t>AVESTA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46318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46128</v>
      </c>
      <c r="E239" s="1" t="n">
        <v>46318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46128</v>
      </c>
      <c r="E240" s="1" t="n">
        <v>46318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46318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46318</v>
      </c>
      <c r="F242" t="inlineStr">
        <is>
          <t>DALARNAS LÄN</t>
        </is>
      </c>
      <c r="G242" t="inlineStr">
        <is>
          <t>AVESTA</t>
        </is>
      </c>
      <c r="H242" t="inlineStr">
        <is>
          <t>Bergvik skog väst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44753</v>
      </c>
      <c r="E243" s="1" t="n">
        <v>46318</v>
      </c>
      <c r="F243" t="inlineStr">
        <is>
          <t>DALARNAS LÄN</t>
        </is>
      </c>
      <c r="G243" t="inlineStr">
        <is>
          <t>AVESTA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46318</v>
      </c>
      <c r="F244" t="inlineStr">
        <is>
          <t>DALARNAS LÄN</t>
        </is>
      </c>
      <c r="G244" t="inlineStr">
        <is>
          <t>AVESTA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46318</v>
      </c>
      <c r="F245" t="inlineStr">
        <is>
          <t>DALARNAS LÄN</t>
        </is>
      </c>
      <c r="G245" t="inlineStr">
        <is>
          <t>AVESTA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46223</v>
      </c>
      <c r="E246" s="1" t="n">
        <v>46318</v>
      </c>
      <c r="F246" t="inlineStr">
        <is>
          <t>DALARNAS LÄN</t>
        </is>
      </c>
      <c r="G246" t="inlineStr">
        <is>
          <t>AVESTA</t>
        </is>
      </c>
      <c r="H246" t="inlineStr">
        <is>
          <t>Bergvik skog väst AB</t>
        </is>
      </c>
      <c r="I246" t="n">
        <v>21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46318</v>
      </c>
      <c r="F247" t="inlineStr">
        <is>
          <t>DALARNAS LÄN</t>
        </is>
      </c>
      <c r="G247" t="inlineStr">
        <is>
          <t>AVESTA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45496</v>
      </c>
      <c r="E248" s="1" t="n">
        <v>46318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45496</v>
      </c>
      <c r="E249" s="1" t="n">
        <v>46318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46318</v>
      </c>
      <c r="F250" t="inlineStr">
        <is>
          <t>DALARNAS LÄN</t>
        </is>
      </c>
      <c r="G250" t="inlineStr">
        <is>
          <t>AVESTA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46318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46318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45492</v>
      </c>
      <c r="E253" s="1" t="n">
        <v>46318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46318</v>
      </c>
      <c r="F254" t="inlineStr">
        <is>
          <t>DALARNAS LÄN</t>
        </is>
      </c>
      <c r="G254" t="inlineStr">
        <is>
          <t>AVESTA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44865</v>
      </c>
      <c r="E255" s="1" t="n">
        <v>46318</v>
      </c>
      <c r="F255" t="inlineStr">
        <is>
          <t>DALARNAS LÄN</t>
        </is>
      </c>
      <c r="G255" t="inlineStr">
        <is>
          <t>AVESTA</t>
        </is>
      </c>
      <c r="I255" t="n">
        <v>14.8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46318</v>
      </c>
      <c r="F256" t="inlineStr">
        <is>
          <t>DALARNAS LÄN</t>
        </is>
      </c>
      <c r="G256" t="inlineStr">
        <is>
          <t>AVESTA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46283</v>
      </c>
      <c r="E257" s="1" t="n">
        <v>46318</v>
      </c>
      <c r="F257" t="inlineStr">
        <is>
          <t>DALARNAS LÄN</t>
        </is>
      </c>
      <c r="G257" t="inlineStr">
        <is>
          <t>AVESTA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46318</v>
      </c>
      <c r="F258" t="inlineStr">
        <is>
          <t>DALARNAS LÄN</t>
        </is>
      </c>
      <c r="G258" t="inlineStr">
        <is>
          <t>AVESTA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46318</v>
      </c>
      <c r="F259" t="inlineStr">
        <is>
          <t>DALARNAS LÄN</t>
        </is>
      </c>
      <c r="G259" t="inlineStr">
        <is>
          <t>AVESTA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46318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45196</v>
      </c>
      <c r="E261" s="1" t="n">
        <v>46318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45328</v>
      </c>
      <c r="E262" s="1" t="n">
        <v>46318</v>
      </c>
      <c r="F262" t="inlineStr">
        <is>
          <t>DALARNAS LÄN</t>
        </is>
      </c>
      <c r="G262" t="inlineStr">
        <is>
          <t>AVESTA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46244</v>
      </c>
      <c r="E263" s="1" t="n">
        <v>46318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46318</v>
      </c>
      <c r="F264" t="inlineStr">
        <is>
          <t>DALARNAS LÄN</t>
        </is>
      </c>
      <c r="G264" t="inlineStr">
        <is>
          <t>AVESTA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46318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46318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39318-2026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46287</v>
      </c>
      <c r="E267" s="1" t="n">
        <v>46318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49.9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46318</v>
      </c>
      <c r="F268" t="inlineStr">
        <is>
          <t>DALARNAS LÄN</t>
        </is>
      </c>
      <c r="G268" t="inlineStr">
        <is>
          <t>AVESTA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46318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45007</v>
      </c>
      <c r="E270" s="1" t="n">
        <v>46318</v>
      </c>
      <c r="F270" t="inlineStr">
        <is>
          <t>DALARNAS LÄN</t>
        </is>
      </c>
      <c r="G270" t="inlineStr">
        <is>
          <t>AVESTA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63519-2021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46318</v>
      </c>
      <c r="F271" t="inlineStr">
        <is>
          <t>DALARNAS LÄN</t>
        </is>
      </c>
      <c r="G271" t="inlineStr">
        <is>
          <t>AVESTA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46318</v>
      </c>
      <c r="F272" t="inlineStr">
        <is>
          <t>DALARNAS LÄN</t>
        </is>
      </c>
      <c r="G272" t="inlineStr">
        <is>
          <t>AVESTA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46318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46318</v>
      </c>
      <c r="F274" t="inlineStr">
        <is>
          <t>DALARNAS LÄN</t>
        </is>
      </c>
      <c r="G274" t="inlineStr">
        <is>
          <t>AVESTA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46318</v>
      </c>
      <c r="F275" t="inlineStr">
        <is>
          <t>DALARNAS LÄN</t>
        </is>
      </c>
      <c r="G275" t="inlineStr">
        <is>
          <t>AVESTA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46318</v>
      </c>
      <c r="F276" t="inlineStr">
        <is>
          <t>DALARNAS LÄN</t>
        </is>
      </c>
      <c r="G276" t="inlineStr">
        <is>
          <t>AVESTA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45527</v>
      </c>
      <c r="E277" s="1" t="n">
        <v>46318</v>
      </c>
      <c r="F277" t="inlineStr">
        <is>
          <t>DALARNAS LÄN</t>
        </is>
      </c>
      <c r="G277" t="inlineStr">
        <is>
          <t>AVESTA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50682-2024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45602</v>
      </c>
      <c r="E278" s="1" t="n">
        <v>46318</v>
      </c>
      <c r="F278" t="inlineStr">
        <is>
          <t>DALARNAS LÄN</t>
        </is>
      </c>
      <c r="G278" t="inlineStr">
        <is>
          <t>AVESTA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46318</v>
      </c>
      <c r="F279" t="inlineStr">
        <is>
          <t>DALARNAS LÄN</t>
        </is>
      </c>
      <c r="G279" t="inlineStr">
        <is>
          <t>AVESTA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46318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46297</v>
      </c>
      <c r="E281" s="1" t="n">
        <v>46318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46296</v>
      </c>
      <c r="E282" s="1" t="n">
        <v>46318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46318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46318</v>
      </c>
      <c r="F284" t="inlineStr">
        <is>
          <t>DALARNAS LÄN</t>
        </is>
      </c>
      <c r="G284" t="inlineStr">
        <is>
          <t>AVESTA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45007</v>
      </c>
      <c r="E285" s="1" t="n">
        <v>46318</v>
      </c>
      <c r="F285" t="inlineStr">
        <is>
          <t>DALARNAS LÄN</t>
        </is>
      </c>
      <c r="G285" t="inlineStr">
        <is>
          <t>AVESTA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45505</v>
      </c>
      <c r="E286" s="1" t="n">
        <v>46318</v>
      </c>
      <c r="F286" t="inlineStr">
        <is>
          <t>DALARNAS LÄN</t>
        </is>
      </c>
      <c r="G286" t="inlineStr">
        <is>
          <t>AVESTA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44971</v>
      </c>
      <c r="E287" s="1" t="n">
        <v>46318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46318</v>
      </c>
      <c r="F288" t="inlineStr">
        <is>
          <t>DALARNAS LÄN</t>
        </is>
      </c>
      <c r="G288" t="inlineStr">
        <is>
          <t>AVESTA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46301</v>
      </c>
      <c r="E289" s="1" t="n">
        <v>46318</v>
      </c>
      <c r="F289" t="inlineStr">
        <is>
          <t>DALARNAS LÄN</t>
        </is>
      </c>
      <c r="G289" t="inlineStr">
        <is>
          <t>AVESTA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45721</v>
      </c>
      <c r="E290" s="1" t="n">
        <v>46318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46301</v>
      </c>
      <c r="E291" s="1" t="n">
        <v>46318</v>
      </c>
      <c r="F291" t="inlineStr">
        <is>
          <t>DALARNAS LÄN</t>
        </is>
      </c>
      <c r="G291" t="inlineStr">
        <is>
          <t>AVESTA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46318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45457</v>
      </c>
      <c r="E293" s="1" t="n">
        <v>46318</v>
      </c>
      <c r="F293" t="inlineStr">
        <is>
          <t>DALARNAS LÄN</t>
        </is>
      </c>
      <c r="G293" t="inlineStr">
        <is>
          <t>AVESTA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46318</v>
      </c>
      <c r="F294" t="inlineStr">
        <is>
          <t>DALARNAS LÄN</t>
        </is>
      </c>
      <c r="G294" t="inlineStr">
        <is>
          <t>AVESTA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45044</v>
      </c>
      <c r="E295" s="1" t="n">
        <v>46318</v>
      </c>
      <c r="F295" t="inlineStr">
        <is>
          <t>DALARNAS LÄN</t>
        </is>
      </c>
      <c r="G295" t="inlineStr">
        <is>
          <t>AVESTA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45269</v>
      </c>
      <c r="E296" s="1" t="n">
        <v>46318</v>
      </c>
      <c r="F296" t="inlineStr">
        <is>
          <t>DALARNAS LÄN</t>
        </is>
      </c>
      <c r="G296" t="inlineStr">
        <is>
          <t>AVESTA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44977</v>
      </c>
      <c r="E297" s="1" t="n">
        <v>46318</v>
      </c>
      <c r="F297" t="inlineStr">
        <is>
          <t>DALARNAS LÄN</t>
        </is>
      </c>
      <c r="G297" t="inlineStr">
        <is>
          <t>AVESTA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46318</v>
      </c>
      <c r="F298" t="inlineStr">
        <is>
          <t>DALARNAS LÄN</t>
        </is>
      </c>
      <c r="G298" t="inlineStr">
        <is>
          <t>AVESTA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45007</v>
      </c>
      <c r="E299" s="1" t="n">
        <v>46318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46303</v>
      </c>
      <c r="E300" s="1" t="n">
        <v>46318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46301</v>
      </c>
      <c r="E301" s="1" t="n">
        <v>46318</v>
      </c>
      <c r="F301" t="inlineStr">
        <is>
          <t>DALARNAS LÄN</t>
        </is>
      </c>
      <c r="G301" t="inlineStr">
        <is>
          <t>AVESTA</t>
        </is>
      </c>
      <c r="H301" t="inlineStr">
        <is>
          <t>Bergvik skog väst AB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46318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46261</v>
      </c>
      <c r="E303" s="1" t="n">
        <v>46318</v>
      </c>
      <c r="F303" t="inlineStr">
        <is>
          <t>DALARNAS LÄN</t>
        </is>
      </c>
      <c r="G303" t="inlineStr">
        <is>
          <t>AVESTA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46307</v>
      </c>
      <c r="E304" s="1" t="n">
        <v>46318</v>
      </c>
      <c r="F304" t="inlineStr">
        <is>
          <t>DALARNAS LÄN</t>
        </is>
      </c>
      <c r="G304" t="inlineStr">
        <is>
          <t>AVESTA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46307</v>
      </c>
      <c r="E305" s="1" t="n">
        <v>46318</v>
      </c>
      <c r="F305" t="inlineStr">
        <is>
          <t>DALARNAS LÄN</t>
        </is>
      </c>
      <c r="G305" t="inlineStr">
        <is>
          <t>AVESTA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46318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46318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42272-2026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46307</v>
      </c>
      <c r="E308" s="1" t="n">
        <v>46318</v>
      </c>
      <c r="F308" t="inlineStr">
        <is>
          <t>DALARNAS LÄN</t>
        </is>
      </c>
      <c r="G308" t="inlineStr">
        <is>
          <t>AVESTA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46318</v>
      </c>
      <c r="F309" t="inlineStr">
        <is>
          <t>DALARNAS LÄN</t>
        </is>
      </c>
      <c r="G309" t="inlineStr">
        <is>
          <t>AVESTA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45719</v>
      </c>
      <c r="E310" s="1" t="n">
        <v>46318</v>
      </c>
      <c r="F310" t="inlineStr">
        <is>
          <t>DALARNAS LÄN</t>
        </is>
      </c>
      <c r="G310" t="inlineStr">
        <is>
          <t>AVESTA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42695-2026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46309</v>
      </c>
      <c r="E311" s="1" t="n">
        <v>46318</v>
      </c>
      <c r="F311" t="inlineStr">
        <is>
          <t>DALARNAS LÄN</t>
        </is>
      </c>
      <c r="G311" t="inlineStr">
        <is>
          <t>AVESTA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45453</v>
      </c>
      <c r="E312" s="1" t="n">
        <v>46318</v>
      </c>
      <c r="F312" t="inlineStr">
        <is>
          <t>DALARNAS LÄN</t>
        </is>
      </c>
      <c r="G312" t="inlineStr">
        <is>
          <t>AVESTA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46311</v>
      </c>
      <c r="E313" s="1" t="n">
        <v>46318</v>
      </c>
      <c r="F313" t="inlineStr">
        <is>
          <t>DALARNAS LÄN</t>
        </is>
      </c>
      <c r="G313" t="inlineStr">
        <is>
          <t>AVESTA</t>
        </is>
      </c>
      <c r="H313" t="inlineStr">
        <is>
          <t>Kommuner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45497</v>
      </c>
      <c r="E314" s="1" t="n">
        <v>46318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45694</v>
      </c>
      <c r="E315" s="1" t="n">
        <v>46318</v>
      </c>
      <c r="F315" t="inlineStr">
        <is>
          <t>DALARNAS LÄN</t>
        </is>
      </c>
      <c r="G315" t="inlineStr">
        <is>
          <t>AVESTA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46318</v>
      </c>
      <c r="F316" t="inlineStr">
        <is>
          <t>DALARNAS LÄN</t>
        </is>
      </c>
      <c r="G316" t="inlineStr">
        <is>
          <t>AVESTA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46318</v>
      </c>
      <c r="F317" t="inlineStr">
        <is>
          <t>DALARNAS LÄN</t>
        </is>
      </c>
      <c r="G317" t="inlineStr">
        <is>
          <t>AVESTA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10899-2024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45370</v>
      </c>
      <c r="E318" s="1" t="n">
        <v>46318</v>
      </c>
      <c r="F318" t="inlineStr">
        <is>
          <t>DALARNAS LÄN</t>
        </is>
      </c>
      <c r="G318" t="inlineStr">
        <is>
          <t>AVESTA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44581</v>
      </c>
      <c r="E319" s="1" t="n">
        <v>46318</v>
      </c>
      <c r="F319" t="inlineStr">
        <is>
          <t>DALARNAS LÄN</t>
        </is>
      </c>
      <c r="G319" t="inlineStr">
        <is>
          <t>AVESTA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45715</v>
      </c>
      <c r="E320" s="1" t="n">
        <v>46318</v>
      </c>
      <c r="F320" t="inlineStr">
        <is>
          <t>DALARNAS LÄN</t>
        </is>
      </c>
      <c r="G320" t="inlineStr">
        <is>
          <t>AVESTA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46318</v>
      </c>
      <c r="F321" t="inlineStr">
        <is>
          <t>DALARNAS LÄN</t>
        </is>
      </c>
      <c r="G321" t="inlineStr">
        <is>
          <t>AVESTA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45058</v>
      </c>
      <c r="E322" s="1" t="n">
        <v>46318</v>
      </c>
      <c r="F322" t="inlineStr">
        <is>
          <t>DALARNAS LÄN</t>
        </is>
      </c>
      <c r="G322" t="inlineStr">
        <is>
          <t>AVESTA</t>
        </is>
      </c>
      <c r="I322" t="n">
        <v>17.6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45455</v>
      </c>
      <c r="E323" s="1" t="n">
        <v>46318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45072</v>
      </c>
      <c r="E324" s="1" t="n">
        <v>46318</v>
      </c>
      <c r="F324" t="inlineStr">
        <is>
          <t>DALARNAS LÄN</t>
        </is>
      </c>
      <c r="G324" t="inlineStr">
        <is>
          <t>AVESTA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45330</v>
      </c>
      <c r="E325" s="1" t="n">
        <v>46318</v>
      </c>
      <c r="F325" t="inlineStr">
        <is>
          <t>DALARNAS LÄN</t>
        </is>
      </c>
      <c r="G325" t="inlineStr">
        <is>
          <t>AVESTA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44876</v>
      </c>
      <c r="E326" s="1" t="n">
        <v>46318</v>
      </c>
      <c r="F326" t="inlineStr">
        <is>
          <t>DALARNAS LÄN</t>
        </is>
      </c>
      <c r="G326" t="inlineStr">
        <is>
          <t>AVESTA</t>
        </is>
      </c>
      <c r="H326" t="inlineStr">
        <is>
          <t>Kyrkan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45232</v>
      </c>
      <c r="E327" s="1" t="n">
        <v>46318</v>
      </c>
      <c r="F327" t="inlineStr">
        <is>
          <t>DALARNAS LÄN</t>
        </is>
      </c>
      <c r="G327" t="inlineStr">
        <is>
          <t>AVESTA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46318</v>
      </c>
      <c r="F328" t="inlineStr">
        <is>
          <t>DALARNAS LÄN</t>
        </is>
      </c>
      <c r="G328" t="inlineStr">
        <is>
          <t>AVESTA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45649</v>
      </c>
      <c r="E329" s="1" t="n">
        <v>46318</v>
      </c>
      <c r="F329" t="inlineStr">
        <is>
          <t>DALARNAS LÄN</t>
        </is>
      </c>
      <c r="G329" t="inlineStr">
        <is>
          <t>AVESTA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46318</v>
      </c>
      <c r="F330" t="inlineStr">
        <is>
          <t>DALARNAS LÄN</t>
        </is>
      </c>
      <c r="G330" t="inlineStr">
        <is>
          <t>AVESTA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44141-2022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46318</v>
      </c>
      <c r="F331" t="inlineStr">
        <is>
          <t>DALARNAS LÄN</t>
        </is>
      </c>
      <c r="G331" t="inlineStr">
        <is>
          <t>AVESTA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46318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46318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46318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46318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46318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46318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46318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46318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2026-10-23T01:58:52Z</dcterms:created>
  <dcterms:modified xmlns:dcterms="http://purl.org/dc/terms/" xmlns:xsi="http://www.w3.org/2001/XMLSchema-instance" xsi:type="dcterms:W3CDTF">2026-10-23T01:58:53Z</dcterms:modified>
</cp:coreProperties>
</file>