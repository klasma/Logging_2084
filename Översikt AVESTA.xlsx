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45344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45344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45344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45344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45344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12997-2022</t>
        </is>
      </c>
      <c r="B18" s="1" t="n">
        <v>44643</v>
      </c>
      <c r="C18" s="1" t="n">
        <v>45344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HYPERLINK("https://klasma.github.io/Logging_2084/artfynd/A 12997-2022 artfynd.xlsx", "A 12997-2022")</f>
        <v/>
      </c>
      <c r="T18">
        <f>HYPERLINK("https://klasma.github.io/Logging_2084/kartor/A 12997-2022 karta.png", "A 12997-2022")</f>
        <v/>
      </c>
      <c r="V18">
        <f>HYPERLINK("https://klasma.github.io/Logging_2084/klagomål/A 12997-2022 FSC-klagomål.docx", "A 12997-2022")</f>
        <v/>
      </c>
      <c r="W18">
        <f>HYPERLINK("https://klasma.github.io/Logging_2084/klagomålsmail/A 12997-2022 FSC-klagomål mail.docx", "A 12997-2022")</f>
        <v/>
      </c>
      <c r="X18">
        <f>HYPERLINK("https://klasma.github.io/Logging_2084/tillsyn/A 12997-2022 tillsynsbegäran.docx", "A 12997-2022")</f>
        <v/>
      </c>
      <c r="Y18">
        <f>HYPERLINK("https://klasma.github.io/Logging_2084/tillsynsmail/A 12997-2022 tillsynsbegäran mail.docx", "A 12997-2022")</f>
        <v/>
      </c>
      <c r="Z18">
        <f>HYPERLINK("https://klasma.github.io/Logging_2084/fåglar/A 12997-2022 prioriterade fågelarter.docx", "A 12997-2022")</f>
        <v/>
      </c>
    </row>
    <row r="19" ht="15" customHeight="1">
      <c r="A19" t="inlineStr">
        <is>
          <t>A 41888-2023</t>
        </is>
      </c>
      <c r="B19" s="1" t="n">
        <v>45176</v>
      </c>
      <c r="C19" s="1" t="n">
        <v>45344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41888-2023 artfynd.xlsx", "A 41888-2023")</f>
        <v/>
      </c>
      <c r="T19">
        <f>HYPERLINK("https://klasma.github.io/Logging_2084/kartor/A 41888-2023 karta.png", "A 41888-2023")</f>
        <v/>
      </c>
      <c r="V19">
        <f>HYPERLINK("https://klasma.github.io/Logging_2084/klagomål/A 41888-2023 FSC-klagomål.docx", "A 41888-2023")</f>
        <v/>
      </c>
      <c r="W19">
        <f>HYPERLINK("https://klasma.github.io/Logging_2084/klagomålsmail/A 41888-2023 FSC-klagomål mail.docx", "A 41888-2023")</f>
        <v/>
      </c>
      <c r="X19">
        <f>HYPERLINK("https://klasma.github.io/Logging_2084/tillsyn/A 41888-2023 tillsynsbegäran.docx", "A 41888-2023")</f>
        <v/>
      </c>
      <c r="Y19">
        <f>HYPERLINK("https://klasma.github.io/Logging_2084/tillsynsmail/A 41888-2023 tillsynsbegäran mail.docx", "A 41888-2023")</f>
        <v/>
      </c>
    </row>
    <row r="20" ht="15" customHeight="1">
      <c r="A20" t="inlineStr">
        <is>
          <t>A 43454-2023</t>
        </is>
      </c>
      <c r="B20" s="1" t="n">
        <v>45184</v>
      </c>
      <c r="C20" s="1" t="n">
        <v>45344</v>
      </c>
      <c r="D20" t="inlineStr">
        <is>
          <t>DALARNAS LÄN</t>
        </is>
      </c>
      <c r="E20" t="inlineStr">
        <is>
          <t>AVESTA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43454-2023 artfynd.xlsx", "A 43454-2023")</f>
        <v/>
      </c>
      <c r="T20">
        <f>HYPERLINK("https://klasma.github.io/Logging_2084/kartor/A 43454-2023 karta.png", "A 43454-2023")</f>
        <v/>
      </c>
      <c r="V20">
        <f>HYPERLINK("https://klasma.github.io/Logging_2084/klagomål/A 43454-2023 FSC-klagomål.docx", "A 43454-2023")</f>
        <v/>
      </c>
      <c r="W20">
        <f>HYPERLINK("https://klasma.github.io/Logging_2084/klagomålsmail/A 43454-2023 FSC-klagomål mail.docx", "A 43454-2023")</f>
        <v/>
      </c>
      <c r="X20">
        <f>HYPERLINK("https://klasma.github.io/Logging_2084/tillsyn/A 43454-2023 tillsynsbegäran.docx", "A 43454-2023")</f>
        <v/>
      </c>
      <c r="Y20">
        <f>HYPERLINK("https://klasma.github.io/Logging_2084/tillsynsmail/A 43454-2023 tillsynsbegäran mail.docx", "A 43454-2023")</f>
        <v/>
      </c>
      <c r="Z20">
        <f>HYPERLINK("https://klasma.github.io/Logging_2084/fåglar/A 43454-2023 prioriterade fågelarter.docx", "A 43454-2023")</f>
        <v/>
      </c>
    </row>
    <row r="21" ht="15" customHeight="1">
      <c r="A21" t="inlineStr">
        <is>
          <t>A 43773-2023</t>
        </is>
      </c>
      <c r="B21" s="1" t="n">
        <v>45187</v>
      </c>
      <c r="C21" s="1" t="n">
        <v>45344</v>
      </c>
      <c r="D21" t="inlineStr">
        <is>
          <t>DALARNAS LÄN</t>
        </is>
      </c>
      <c r="E21" t="inlineStr">
        <is>
          <t>AVESTA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43773-2023 artfynd.xlsx", "A 43773-2023")</f>
        <v/>
      </c>
      <c r="T21">
        <f>HYPERLINK("https://klasma.github.io/Logging_2084/kartor/A 43773-2023 karta.png", "A 43773-2023")</f>
        <v/>
      </c>
      <c r="U21">
        <f>HYPERLINK("https://klasma.github.io/Logging_2084/knärot/A 43773-2023 karta knärot.png", "A 43773-2023")</f>
        <v/>
      </c>
      <c r="V21">
        <f>HYPERLINK("https://klasma.github.io/Logging_2084/klagomål/A 43773-2023 FSC-klagomål.docx", "A 43773-2023")</f>
        <v/>
      </c>
      <c r="W21">
        <f>HYPERLINK("https://klasma.github.io/Logging_2084/klagomålsmail/A 43773-2023 FSC-klagomål mail.docx", "A 43773-2023")</f>
        <v/>
      </c>
      <c r="X21">
        <f>HYPERLINK("https://klasma.github.io/Logging_2084/tillsyn/A 43773-2023 tillsynsbegäran.docx", "A 43773-2023")</f>
        <v/>
      </c>
      <c r="Y21">
        <f>HYPERLINK("https://klasma.github.io/Logging_2084/tillsynsmail/A 43773-2023 tillsynsbegäran mail.docx", "A 43773-2023")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45344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61850-2023</t>
        </is>
      </c>
      <c r="B23" s="1" t="n">
        <v>45266</v>
      </c>
      <c r="C23" s="1" t="n">
        <v>45344</v>
      </c>
      <c r="D23" t="inlineStr">
        <is>
          <t>DALARNAS LÄN</t>
        </is>
      </c>
      <c r="E23" t="inlineStr">
        <is>
          <t>AVESTA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61850-2023 artfynd.xlsx", "A 61850-2023")</f>
        <v/>
      </c>
      <c r="T23">
        <f>HYPERLINK("https://klasma.github.io/Logging_2084/kartor/A 61850-2023 karta.png", "A 61850-2023")</f>
        <v/>
      </c>
      <c r="U23">
        <f>HYPERLINK("https://klasma.github.io/Logging_2084/knärot/A 61850-2023 karta knärot.png", "A 61850-2023")</f>
        <v/>
      </c>
      <c r="V23">
        <f>HYPERLINK("https://klasma.github.io/Logging_2084/klagomål/A 61850-2023 FSC-klagomål.docx", "A 61850-2023")</f>
        <v/>
      </c>
      <c r="W23">
        <f>HYPERLINK("https://klasma.github.io/Logging_2084/klagomålsmail/A 61850-2023 FSC-klagomål mail.docx", "A 61850-2023")</f>
        <v/>
      </c>
      <c r="X23">
        <f>HYPERLINK("https://klasma.github.io/Logging_2084/tillsyn/A 61850-2023 tillsynsbegäran.docx", "A 61850-2023")</f>
        <v/>
      </c>
      <c r="Y23">
        <f>HYPERLINK("https://klasma.github.io/Logging_2084/tillsynsmail/A 61850-2023 tillsynsbegäran mail.docx", "A 61850-2023")</f>
        <v/>
      </c>
    </row>
    <row r="24" ht="15" customHeight="1">
      <c r="A24" t="inlineStr">
        <is>
          <t>A 5299-2024</t>
        </is>
      </c>
      <c r="B24" s="1" t="n">
        <v>45331</v>
      </c>
      <c r="C24" s="1" t="n">
        <v>45344</v>
      </c>
      <c r="D24" t="inlineStr">
        <is>
          <t>DALARNAS LÄN</t>
        </is>
      </c>
      <c r="E24" t="inlineStr">
        <is>
          <t>AVESTA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HYPERLINK("https://klasma.github.io/Logging_2084/artfynd/A 5299-2024 artfynd.xlsx", "A 5299-2024")</f>
        <v/>
      </c>
      <c r="T24">
        <f>HYPERLINK("https://klasma.github.io/Logging_2084/kartor/A 5299-2024 karta.png", "A 5299-2024")</f>
        <v/>
      </c>
      <c r="V24">
        <f>HYPERLINK("https://klasma.github.io/Logging_2084/klagomål/A 5299-2024 FSC-klagomål.docx", "A 5299-2024")</f>
        <v/>
      </c>
      <c r="W24">
        <f>HYPERLINK("https://klasma.github.io/Logging_2084/klagomålsmail/A 5299-2024 FSC-klagomål mail.docx", "A 5299-2024")</f>
        <v/>
      </c>
      <c r="X24">
        <f>HYPERLINK("https://klasma.github.io/Logging_2084/tillsyn/A 5299-2024 tillsynsbegäran.docx", "A 5299-2024")</f>
        <v/>
      </c>
      <c r="Y24">
        <f>HYPERLINK("https://klasma.github.io/Logging_2084/tillsynsmail/A 5299-2024 tillsynsbegäran mail.docx", "A 5299-2024")</f>
        <v/>
      </c>
    </row>
    <row r="25" ht="15" customHeight="1">
      <c r="A25" t="inlineStr">
        <is>
          <t>A 34258-2018</t>
        </is>
      </c>
      <c r="B25" s="1" t="n">
        <v>43318</v>
      </c>
      <c r="C25" s="1" t="n">
        <v>45344</v>
      </c>
      <c r="D25" t="inlineStr">
        <is>
          <t>DALARNAS LÄN</t>
        </is>
      </c>
      <c r="E25" t="inlineStr">
        <is>
          <t>AVESTA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44870-2018</t>
        </is>
      </c>
      <c r="B26" s="1" t="n">
        <v>43360</v>
      </c>
      <c r="C26" s="1" t="n">
        <v>45344</v>
      </c>
      <c r="D26" t="inlineStr">
        <is>
          <t>DALARNAS LÄN</t>
        </is>
      </c>
      <c r="E26" t="inlineStr">
        <is>
          <t>AVESTA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64878-2018</t>
        </is>
      </c>
      <c r="B27" s="1" t="n">
        <v>43431</v>
      </c>
      <c r="C27" s="1" t="n">
        <v>45344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65697-2018</t>
        </is>
      </c>
      <c r="B28" s="1" t="n">
        <v>43433</v>
      </c>
      <c r="C28" s="1" t="n">
        <v>45344</v>
      </c>
      <c r="D28" t="inlineStr">
        <is>
          <t>DALARNAS LÄN</t>
        </is>
      </c>
      <c r="E28" t="inlineStr">
        <is>
          <t>AVESTA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66380-2018</t>
        </is>
      </c>
      <c r="B29" s="1" t="n">
        <v>43436</v>
      </c>
      <c r="C29" s="1" t="n">
        <v>45344</v>
      </c>
      <c r="D29" t="inlineStr">
        <is>
          <t>DALARNAS LÄN</t>
        </is>
      </c>
      <c r="E29" t="inlineStr">
        <is>
          <t>AVESTA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69674-2018</t>
        </is>
      </c>
      <c r="B30" s="1" t="n">
        <v>43444</v>
      </c>
      <c r="C30" s="1" t="n">
        <v>45344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70466-2018</t>
        </is>
      </c>
      <c r="B31" s="1" t="n">
        <v>43447</v>
      </c>
      <c r="C31" s="1" t="n">
        <v>45344</v>
      </c>
      <c r="D31" t="inlineStr">
        <is>
          <t>DALARNAS LÄN</t>
        </is>
      </c>
      <c r="E31" t="inlineStr">
        <is>
          <t>AVESTA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71656-2018</t>
        </is>
      </c>
      <c r="B32" s="1" t="n">
        <v>43454</v>
      </c>
      <c r="C32" s="1" t="n">
        <v>45344</v>
      </c>
      <c r="D32" t="inlineStr">
        <is>
          <t>DALARNAS LÄN</t>
        </is>
      </c>
      <c r="E32" t="inlineStr">
        <is>
          <t>AVESTA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2370-2019</t>
        </is>
      </c>
      <c r="B33" s="1" t="n">
        <v>43468</v>
      </c>
      <c r="C33" s="1" t="n">
        <v>45344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1270-2019</t>
        </is>
      </c>
      <c r="B34" s="1" t="n">
        <v>43473</v>
      </c>
      <c r="C34" s="1" t="n">
        <v>45344</v>
      </c>
      <c r="D34" t="inlineStr">
        <is>
          <t>DALARNAS LÄN</t>
        </is>
      </c>
      <c r="E34" t="inlineStr">
        <is>
          <t>AVESTA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7604-2019</t>
        </is>
      </c>
      <c r="B35" s="1" t="n">
        <v>43499</v>
      </c>
      <c r="C35" s="1" t="n">
        <v>45344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9897-2019</t>
        </is>
      </c>
      <c r="B36" s="1" t="n">
        <v>43509</v>
      </c>
      <c r="C36" s="1" t="n">
        <v>45344</v>
      </c>
      <c r="D36" t="inlineStr">
        <is>
          <t>DALARNAS LÄN</t>
        </is>
      </c>
      <c r="E36" t="inlineStr">
        <is>
          <t>AVESTA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13083-2019</t>
        </is>
      </c>
      <c r="B37" s="1" t="n">
        <v>43528</v>
      </c>
      <c r="C37" s="1" t="n">
        <v>45344</v>
      </c>
      <c r="D37" t="inlineStr">
        <is>
          <t>DALARNAS LÄN</t>
        </is>
      </c>
      <c r="E37" t="inlineStr">
        <is>
          <t>AVESTA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16962-2019</t>
        </is>
      </c>
      <c r="B38" s="1" t="n">
        <v>43550</v>
      </c>
      <c r="C38" s="1" t="n">
        <v>45344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18152-2019</t>
        </is>
      </c>
      <c r="B39" s="1" t="n">
        <v>43558</v>
      </c>
      <c r="C39" s="1" t="n">
        <v>45344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45344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45344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45344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45344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45344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45344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45344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45344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45344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45344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45344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45344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35578-2019</t>
        </is>
      </c>
      <c r="B52" s="1" t="n">
        <v>43664</v>
      </c>
      <c r="C52" s="1" t="n">
        <v>45344</v>
      </c>
      <c r="D52" t="inlineStr">
        <is>
          <t>DALARNAS LÄN</t>
        </is>
      </c>
      <c r="E52" t="inlineStr">
        <is>
          <t>AVESTA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45344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45344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45344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45344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45344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45344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45344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45344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45344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45344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45344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45344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45344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45344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45344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45344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45344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45344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45344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45344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45344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45344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45344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45344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45344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45344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45344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45344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45344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45344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45344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45344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45344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45344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45344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45344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45344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45344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45344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45344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45344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45344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45344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45344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45344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45344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45344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45344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45344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45344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45344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45344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45344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45344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45344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45344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45344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45344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45344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45344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45344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45344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45344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45344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45344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45344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45344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45344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45344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45344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45344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45344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45344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45344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45344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45344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45344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45344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45344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45344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45344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45344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45344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45344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45344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45344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45344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45344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45344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45344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45344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45344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45344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45344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45344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45344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45344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45344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45344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45344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45344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45344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45344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45344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45344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45344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45344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45344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42701-2021</t>
        </is>
      </c>
      <c r="B161" s="1" t="n">
        <v>44428</v>
      </c>
      <c r="C161" s="1" t="n">
        <v>45344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45344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45344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45344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45344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45344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45344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45344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45344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45344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45344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45344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45344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45344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45344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45344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45344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45344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45344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45344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45344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45344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45344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45344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45344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45344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45344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45344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45344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45344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45344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45344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45344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45344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45344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45344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45344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45344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45344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45344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45344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45344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45344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45344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45344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45344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45344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45344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45344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45344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45344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45344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45344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45344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45344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45344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45344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45344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45344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45344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45344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45344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45344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45344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45344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45344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45344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45344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45344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45344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45344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45344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45344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45344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45344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45344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45344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45344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45344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45344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45344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45344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45344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45344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45344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45344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45344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45344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45344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45344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45344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45344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45344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45344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45344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45344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45344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45344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45344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45344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45344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45344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45344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45344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45344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45344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45344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45344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45344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45344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45344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45344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45344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45344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45344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45344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45344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45344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45344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45344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45344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45344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45344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45344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45344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45344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45344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45344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45344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45344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45344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45344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45344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45344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45344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45344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45344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45344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45344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45344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45344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45344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45344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45344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45344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45344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45344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45344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45344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45344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45344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45344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45344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45344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45344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45344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45344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45344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45344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45344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45344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45344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45344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45344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45344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45344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45344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45344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45344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45344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45344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45344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45344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45344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45344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45344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45344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45344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45344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45344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45344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45344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45344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45344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45344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45344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45344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45344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45344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45344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45344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3194-2024</t>
        </is>
      </c>
      <c r="B404" s="1" t="n">
        <v>45316</v>
      </c>
      <c r="C404" s="1" t="n">
        <v>45344</v>
      </c>
      <c r="D404" t="inlineStr">
        <is>
          <t>DALARNAS LÄN</t>
        </is>
      </c>
      <c r="E404" t="inlineStr">
        <is>
          <t>AVESTA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3195-2024</t>
        </is>
      </c>
      <c r="B405" s="1" t="n">
        <v>45316</v>
      </c>
      <c r="C405" s="1" t="n">
        <v>45344</v>
      </c>
      <c r="D405" t="inlineStr">
        <is>
          <t>DALARNAS LÄN</t>
        </is>
      </c>
      <c r="E405" t="inlineStr">
        <is>
          <t>AVESTA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45344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45344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45344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45344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45344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45344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45344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6540-2024</t>
        </is>
      </c>
      <c r="B413" s="1" t="n">
        <v>45341</v>
      </c>
      <c r="C413" s="1" t="n">
        <v>45344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2024-02-22T06:53:31Z</dcterms:created>
  <dcterms:modified xmlns:dcterms="http://purl.org/dc/terms/" xmlns:xsi="http://www.w3.org/2001/XMLSchema-instance" xsi:type="dcterms:W3CDTF">2024-02-22T06:53:31Z</dcterms:modified>
</cp:coreProperties>
</file>