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45763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45763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45763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45763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45763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45763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45763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45763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45763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45763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45763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45763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45763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45763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45763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45763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45763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45763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45763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35578-2019</t>
        </is>
      </c>
      <c r="B21" s="1" t="n">
        <v>43664</v>
      </c>
      <c r="C21" s="1" t="n">
        <v>45763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HYPERLINK("https://klasma.github.io/Logging_2084/artfynd/A 35578-2019 artfynd.xlsx", "A 35578-2019")</f>
        <v/>
      </c>
      <c r="T21">
        <f>HYPERLINK("https://klasma.github.io/Logging_2084/kartor/A 35578-2019 karta.png", "A 35578-2019")</f>
        <v/>
      </c>
      <c r="V21">
        <f>HYPERLINK("https://klasma.github.io/Logging_2084/klagomål/A 35578-2019 FSC-klagomål.docx", "A 35578-2019")</f>
        <v/>
      </c>
      <c r="W21">
        <f>HYPERLINK("https://klasma.github.io/Logging_2084/klagomålsmail/A 35578-2019 FSC-klagomål mail.docx", "A 35578-2019")</f>
        <v/>
      </c>
      <c r="X21">
        <f>HYPERLINK("https://klasma.github.io/Logging_2084/tillsyn/A 35578-2019 tillsynsbegäran.docx", "A 35578-2019")</f>
        <v/>
      </c>
      <c r="Y21">
        <f>HYPERLINK("https://klasma.github.io/Logging_2084/tillsynsmail/A 35578-2019 tillsynsbegäran mail.docx", "A 35578-2019")</f>
        <v/>
      </c>
      <c r="Z21">
        <f>HYPERLINK("https://klasma.github.io/Logging_2084/fåglar/A 35578-2019 prioriterade fågelarter.docx", "A 35578-2019")</f>
        <v/>
      </c>
    </row>
    <row r="22" ht="15" customHeight="1">
      <c r="A22" t="inlineStr">
        <is>
          <t>A 4998-2020</t>
        </is>
      </c>
      <c r="B22" s="1" t="n">
        <v>43859</v>
      </c>
      <c r="C22" s="1" t="n">
        <v>45763</v>
      </c>
      <c r="D22" t="inlineStr">
        <is>
          <t>DALARNAS LÄN</t>
        </is>
      </c>
      <c r="E22" t="inlineStr">
        <is>
          <t>AVESTA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4998-2020 artfynd.xlsx", "A 4998-2020")</f>
        <v/>
      </c>
      <c r="T22">
        <f>HYPERLINK("https://klasma.github.io/Logging_2084/kartor/A 4998-2020 karta.png", "A 4998-2020")</f>
        <v/>
      </c>
      <c r="U22">
        <f>HYPERLINK("https://klasma.github.io/Logging_2084/knärot/A 4998-2020 karta knärot.png", "A 4998-2020")</f>
        <v/>
      </c>
      <c r="V22">
        <f>HYPERLINK("https://klasma.github.io/Logging_2084/klagomål/A 4998-2020 FSC-klagomål.docx", "A 4998-2020")</f>
        <v/>
      </c>
      <c r="W22">
        <f>HYPERLINK("https://klasma.github.io/Logging_2084/klagomålsmail/A 4998-2020 FSC-klagomål mail.docx", "A 4998-2020")</f>
        <v/>
      </c>
      <c r="X22">
        <f>HYPERLINK("https://klasma.github.io/Logging_2084/tillsyn/A 4998-2020 tillsynsbegäran.docx", "A 4998-2020")</f>
        <v/>
      </c>
      <c r="Y22">
        <f>HYPERLINK("https://klasma.github.io/Logging_2084/tillsynsmail/A 4998-2020 tillsynsbegäran mail.docx", "A 4998-2020")</f>
        <v/>
      </c>
    </row>
    <row r="23" ht="15" customHeight="1">
      <c r="A23" t="inlineStr">
        <is>
          <t>A 42701-2021</t>
        </is>
      </c>
      <c r="B23" s="1" t="n">
        <v>44428</v>
      </c>
      <c r="C23" s="1" t="n">
        <v>45763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HYPERLINK("https://klasma.github.io/Logging_2084/artfynd/A 42701-2021 artfynd.xlsx", "A 42701-2021")</f>
        <v/>
      </c>
      <c r="T23">
        <f>HYPERLINK("https://klasma.github.io/Logging_2084/kartor/A 42701-2021 karta.png", "A 42701-2021")</f>
        <v/>
      </c>
      <c r="V23">
        <f>HYPERLINK("https://klasma.github.io/Logging_2084/klagomål/A 42701-2021 FSC-klagomål.docx", "A 42701-2021")</f>
        <v/>
      </c>
      <c r="W23">
        <f>HYPERLINK("https://klasma.github.io/Logging_2084/klagomålsmail/A 42701-2021 FSC-klagomål mail.docx", "A 42701-2021")</f>
        <v/>
      </c>
      <c r="X23">
        <f>HYPERLINK("https://klasma.github.io/Logging_2084/tillsyn/A 42701-2021 tillsynsbegäran.docx", "A 42701-2021")</f>
        <v/>
      </c>
      <c r="Y23">
        <f>HYPERLINK("https://klasma.github.io/Logging_2084/tillsynsmail/A 42701-2021 tillsynsbegäran mail.docx", "A 42701-2021")</f>
        <v/>
      </c>
    </row>
    <row r="24" ht="15" customHeight="1">
      <c r="A24" t="inlineStr">
        <is>
          <t>A 45604-2021</t>
        </is>
      </c>
      <c r="B24" s="1" t="n">
        <v>44440</v>
      </c>
      <c r="C24" s="1" t="n">
        <v>45763</v>
      </c>
      <c r="D24" t="inlineStr">
        <is>
          <t>DALARNAS LÄN</t>
        </is>
      </c>
      <c r="E24" t="inlineStr">
        <is>
          <t>AVESTA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HYPERLINK("https://klasma.github.io/Logging_2084/artfynd/A 45604-2021 artfynd.xlsx", "A 45604-2021")</f>
        <v/>
      </c>
      <c r="T24">
        <f>HYPERLINK("https://klasma.github.io/Logging_2084/kartor/A 45604-2021 karta.png", "A 45604-2021")</f>
        <v/>
      </c>
      <c r="V24">
        <f>HYPERLINK("https://klasma.github.io/Logging_2084/klagomål/A 45604-2021 FSC-klagomål.docx", "A 45604-2021")</f>
        <v/>
      </c>
      <c r="W24">
        <f>HYPERLINK("https://klasma.github.io/Logging_2084/klagomålsmail/A 45604-2021 FSC-klagomål mail.docx", "A 45604-2021")</f>
        <v/>
      </c>
      <c r="X24">
        <f>HYPERLINK("https://klasma.github.io/Logging_2084/tillsyn/A 45604-2021 tillsynsbegäran.docx", "A 45604-2021")</f>
        <v/>
      </c>
      <c r="Y24">
        <f>HYPERLINK("https://klasma.github.io/Logging_2084/tillsynsmail/A 45604-2021 tillsynsbegäran mail.docx", "A 45604-2021")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45763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12997-2022</t>
        </is>
      </c>
      <c r="B26" s="1" t="n">
        <v>44643</v>
      </c>
      <c r="C26" s="1" t="n">
        <v>45763</v>
      </c>
      <c r="D26" t="inlineStr">
        <is>
          <t>DALARNAS LÄN</t>
        </is>
      </c>
      <c r="E26" t="inlineStr">
        <is>
          <t>AVESTA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HYPERLINK("https://klasma.github.io/Logging_2084/artfynd/A 12997-2022 artfynd.xlsx", "A 12997-2022")</f>
        <v/>
      </c>
      <c r="T26">
        <f>HYPERLINK("https://klasma.github.io/Logging_2084/kartor/A 12997-2022 karta.png", "A 12997-2022")</f>
        <v/>
      </c>
      <c r="V26">
        <f>HYPERLINK("https://klasma.github.io/Logging_2084/klagomål/A 12997-2022 FSC-klagomål.docx", "A 12997-2022")</f>
        <v/>
      </c>
      <c r="W26">
        <f>HYPERLINK("https://klasma.github.io/Logging_2084/klagomålsmail/A 12997-2022 FSC-klagomål mail.docx", "A 12997-2022")</f>
        <v/>
      </c>
      <c r="X26">
        <f>HYPERLINK("https://klasma.github.io/Logging_2084/tillsyn/A 12997-2022 tillsynsbegäran.docx", "A 12997-2022")</f>
        <v/>
      </c>
      <c r="Y26">
        <f>HYPERLINK("https://klasma.github.io/Logging_2084/tillsynsmail/A 12997-2022 tillsynsbegäran mail.docx", "A 12997-2022")</f>
        <v/>
      </c>
      <c r="Z26">
        <f>HYPERLINK("https://klasma.github.io/Logging_2084/fåglar/A 12997-2022 prioriterade fågelarter.docx", "A 12997-2022")</f>
        <v/>
      </c>
    </row>
    <row r="27" ht="15" customHeight="1">
      <c r="A27" t="inlineStr">
        <is>
          <t>A 12357-2023</t>
        </is>
      </c>
      <c r="B27" s="1" t="n">
        <v>44999</v>
      </c>
      <c r="C27" s="1" t="n">
        <v>45763</v>
      </c>
      <c r="D27" t="inlineStr">
        <is>
          <t>DALARNAS LÄN</t>
        </is>
      </c>
      <c r="E27" t="inlineStr">
        <is>
          <t>AVESTA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HYPERLINK("https://klasma.github.io/Logging_2084/artfynd/A 12357-2023 artfynd.xlsx", "A 12357-2023")</f>
        <v/>
      </c>
      <c r="T27">
        <f>HYPERLINK("https://klasma.github.io/Logging_2084/kartor/A 12357-2023 karta.png", "A 12357-2023")</f>
        <v/>
      </c>
      <c r="V27">
        <f>HYPERLINK("https://klasma.github.io/Logging_2084/klagomål/A 12357-2023 FSC-klagomål.docx", "A 12357-2023")</f>
        <v/>
      </c>
      <c r="W27">
        <f>HYPERLINK("https://klasma.github.io/Logging_2084/klagomålsmail/A 12357-2023 FSC-klagomål mail.docx", "A 12357-2023")</f>
        <v/>
      </c>
      <c r="X27">
        <f>HYPERLINK("https://klasma.github.io/Logging_2084/tillsyn/A 12357-2023 tillsynsbegäran.docx", "A 12357-2023")</f>
        <v/>
      </c>
      <c r="Y27">
        <f>HYPERLINK("https://klasma.github.io/Logging_2084/tillsynsmail/A 12357-2023 tillsynsbegäran mail.docx", "A 12357-2023")</f>
        <v/>
      </c>
      <c r="Z27">
        <f>HYPERLINK("https://klasma.github.io/Logging_2084/fåglar/A 12357-2023 prioriterade fågelarter.docx", "A 12357-2023")</f>
        <v/>
      </c>
    </row>
    <row r="28" ht="15" customHeight="1">
      <c r="A28" t="inlineStr">
        <is>
          <t>A 41888-2023</t>
        </is>
      </c>
      <c r="B28" s="1" t="n">
        <v>45176</v>
      </c>
      <c r="C28" s="1" t="n">
        <v>45763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41888-2023 artfynd.xlsx", "A 41888-2023")</f>
        <v/>
      </c>
      <c r="T28">
        <f>HYPERLINK("https://klasma.github.io/Logging_2084/kartor/A 41888-2023 karta.png", "A 41888-2023")</f>
        <v/>
      </c>
      <c r="V28">
        <f>HYPERLINK("https://klasma.github.io/Logging_2084/klagomål/A 41888-2023 FSC-klagomål.docx", "A 41888-2023")</f>
        <v/>
      </c>
      <c r="W28">
        <f>HYPERLINK("https://klasma.github.io/Logging_2084/klagomålsmail/A 41888-2023 FSC-klagomål mail.docx", "A 41888-2023")</f>
        <v/>
      </c>
      <c r="X28">
        <f>HYPERLINK("https://klasma.github.io/Logging_2084/tillsyn/A 41888-2023 tillsynsbegäran.docx", "A 41888-2023")</f>
        <v/>
      </c>
      <c r="Y28">
        <f>HYPERLINK("https://klasma.github.io/Logging_2084/tillsynsmail/A 41888-2023 tillsynsbegäran mail.docx", "A 41888-2023")</f>
        <v/>
      </c>
    </row>
    <row r="29" ht="15" customHeight="1">
      <c r="A29" t="inlineStr">
        <is>
          <t>A 43454-2023</t>
        </is>
      </c>
      <c r="B29" s="1" t="n">
        <v>45184</v>
      </c>
      <c r="C29" s="1" t="n">
        <v>45763</v>
      </c>
      <c r="D29" t="inlineStr">
        <is>
          <t>DALARNAS LÄN</t>
        </is>
      </c>
      <c r="E29" t="inlineStr">
        <is>
          <t>AVESTA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43454-2023 artfynd.xlsx", "A 43454-2023")</f>
        <v/>
      </c>
      <c r="T29">
        <f>HYPERLINK("https://klasma.github.io/Logging_2084/kartor/A 43454-2023 karta.png", "A 43454-2023")</f>
        <v/>
      </c>
      <c r="V29">
        <f>HYPERLINK("https://klasma.github.io/Logging_2084/klagomål/A 43454-2023 FSC-klagomål.docx", "A 43454-2023")</f>
        <v/>
      </c>
      <c r="W29">
        <f>HYPERLINK("https://klasma.github.io/Logging_2084/klagomålsmail/A 43454-2023 FSC-klagomål mail.docx", "A 43454-2023")</f>
        <v/>
      </c>
      <c r="X29">
        <f>HYPERLINK("https://klasma.github.io/Logging_2084/tillsyn/A 43454-2023 tillsynsbegäran.docx", "A 43454-2023")</f>
        <v/>
      </c>
      <c r="Y29">
        <f>HYPERLINK("https://klasma.github.io/Logging_2084/tillsynsmail/A 43454-2023 tillsynsbegäran mail.docx", "A 43454-2023")</f>
        <v/>
      </c>
      <c r="Z29">
        <f>HYPERLINK("https://klasma.github.io/Logging_2084/fåglar/A 43454-2023 prioriterade fågelarter.docx", "A 43454-2023")</f>
        <v/>
      </c>
    </row>
    <row r="30" ht="15" customHeight="1">
      <c r="A30" t="inlineStr">
        <is>
          <t>A 43773-2023</t>
        </is>
      </c>
      <c r="B30" s="1" t="n">
        <v>45187</v>
      </c>
      <c r="C30" s="1" t="n">
        <v>45763</v>
      </c>
      <c r="D30" t="inlineStr">
        <is>
          <t>DALARNAS LÄN</t>
        </is>
      </c>
      <c r="E30" t="inlineStr">
        <is>
          <t>AVESTA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43773-2023 artfynd.xlsx", "A 43773-2023")</f>
        <v/>
      </c>
      <c r="T30">
        <f>HYPERLINK("https://klasma.github.io/Logging_2084/kartor/A 43773-2023 karta.png", "A 43773-2023")</f>
        <v/>
      </c>
      <c r="U30">
        <f>HYPERLINK("https://klasma.github.io/Logging_2084/knärot/A 43773-2023 karta knärot.png", "A 43773-2023")</f>
        <v/>
      </c>
      <c r="V30">
        <f>HYPERLINK("https://klasma.github.io/Logging_2084/klagomål/A 43773-2023 FSC-klagomål.docx", "A 43773-2023")</f>
        <v/>
      </c>
      <c r="W30">
        <f>HYPERLINK("https://klasma.github.io/Logging_2084/klagomålsmail/A 43773-2023 FSC-klagomål mail.docx", "A 43773-2023")</f>
        <v/>
      </c>
      <c r="X30">
        <f>HYPERLINK("https://klasma.github.io/Logging_2084/tillsyn/A 43773-2023 tillsynsbegäran.docx", "A 43773-2023")</f>
        <v/>
      </c>
      <c r="Y30">
        <f>HYPERLINK("https://klasma.github.io/Logging_2084/tillsynsmail/A 43773-2023 tillsynsbegäran mail.docx", "A 43773-2023")</f>
        <v/>
      </c>
    </row>
    <row r="31" ht="15" customHeight="1">
      <c r="A31" t="inlineStr">
        <is>
          <t>A 56085-2023</t>
        </is>
      </c>
      <c r="B31" s="1" t="n">
        <v>45240</v>
      </c>
      <c r="C31" s="1" t="n">
        <v>45763</v>
      </c>
      <c r="D31" t="inlineStr">
        <is>
          <t>DALARNAS LÄN</t>
        </is>
      </c>
      <c r="E31" t="inlineStr">
        <is>
          <t>AVESTA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HYPERLINK("https://klasma.github.io/Logging_2084/artfynd/A 56085-2023 artfynd.xlsx", "A 56085-2023")</f>
        <v/>
      </c>
      <c r="T31">
        <f>HYPERLINK("https://klasma.github.io/Logging_2084/kartor/A 56085-2023 karta.png", "A 56085-2023")</f>
        <v/>
      </c>
      <c r="V31">
        <f>HYPERLINK("https://klasma.github.io/Logging_2084/klagomål/A 56085-2023 FSC-klagomål.docx", "A 56085-2023")</f>
        <v/>
      </c>
      <c r="W31">
        <f>HYPERLINK("https://klasma.github.io/Logging_2084/klagomålsmail/A 56085-2023 FSC-klagomål mail.docx", "A 56085-2023")</f>
        <v/>
      </c>
      <c r="X31">
        <f>HYPERLINK("https://klasma.github.io/Logging_2084/tillsyn/A 56085-2023 tillsynsbegäran.docx", "A 56085-2023")</f>
        <v/>
      </c>
      <c r="Y31">
        <f>HYPERLINK("https://klasma.github.io/Logging_2084/tillsynsmail/A 56085-2023 tillsynsbegäran mail.docx", "A 56085-2023")</f>
        <v/>
      </c>
    </row>
    <row r="32" ht="15" customHeight="1">
      <c r="A32" t="inlineStr">
        <is>
          <t>A 61850-2023</t>
        </is>
      </c>
      <c r="B32" s="1" t="n">
        <v>45266</v>
      </c>
      <c r="C32" s="1" t="n">
        <v>45763</v>
      </c>
      <c r="D32" t="inlineStr">
        <is>
          <t>DALARNAS LÄN</t>
        </is>
      </c>
      <c r="E32" t="inlineStr">
        <is>
          <t>AVESTA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HYPERLINK("https://klasma.github.io/Logging_2084/artfynd/A 61850-2023 artfynd.xlsx", "A 61850-2023")</f>
        <v/>
      </c>
      <c r="T32">
        <f>HYPERLINK("https://klasma.github.io/Logging_2084/kartor/A 61850-2023 karta.png", "A 61850-2023")</f>
        <v/>
      </c>
      <c r="U32">
        <f>HYPERLINK("https://klasma.github.io/Logging_2084/knärot/A 61850-2023 karta knärot.png", "A 61850-2023")</f>
        <v/>
      </c>
      <c r="V32">
        <f>HYPERLINK("https://klasma.github.io/Logging_2084/klagomål/A 61850-2023 FSC-klagomål.docx", "A 61850-2023")</f>
        <v/>
      </c>
      <c r="W32">
        <f>HYPERLINK("https://klasma.github.io/Logging_2084/klagomålsmail/A 61850-2023 FSC-klagomål mail.docx", "A 61850-2023")</f>
        <v/>
      </c>
      <c r="X32">
        <f>HYPERLINK("https://klasma.github.io/Logging_2084/tillsyn/A 61850-2023 tillsynsbegäran.docx", "A 61850-2023")</f>
        <v/>
      </c>
      <c r="Y32">
        <f>HYPERLINK("https://klasma.github.io/Logging_2084/tillsynsmail/A 61850-2023 tillsynsbegäran mail.docx", "A 61850-2023")</f>
        <v/>
      </c>
    </row>
    <row r="33" ht="15" customHeight="1">
      <c r="A33" t="inlineStr">
        <is>
          <t>A 5299-2024</t>
        </is>
      </c>
      <c r="B33" s="1" t="n">
        <v>45331</v>
      </c>
      <c r="C33" s="1" t="n">
        <v>45763</v>
      </c>
      <c r="D33" t="inlineStr">
        <is>
          <t>DALARNAS LÄN</t>
        </is>
      </c>
      <c r="E33" t="inlineStr">
        <is>
          <t>AVESTA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HYPERLINK("https://klasma.github.io/Logging_2084/artfynd/A 5299-2024 artfynd.xlsx", "A 5299-2024")</f>
        <v/>
      </c>
      <c r="T33">
        <f>HYPERLINK("https://klasma.github.io/Logging_2084/kartor/A 5299-2024 karta.png", "A 5299-2024")</f>
        <v/>
      </c>
      <c r="V33">
        <f>HYPERLINK("https://klasma.github.io/Logging_2084/klagomål/A 5299-2024 FSC-klagomål.docx", "A 5299-2024")</f>
        <v/>
      </c>
      <c r="W33">
        <f>HYPERLINK("https://klasma.github.io/Logging_2084/klagomålsmail/A 5299-2024 FSC-klagomål mail.docx", "A 5299-2024")</f>
        <v/>
      </c>
      <c r="X33">
        <f>HYPERLINK("https://klasma.github.io/Logging_2084/tillsyn/A 5299-2024 tillsynsbegäran.docx", "A 5299-2024")</f>
        <v/>
      </c>
      <c r="Y33">
        <f>HYPERLINK("https://klasma.github.io/Logging_2084/tillsynsmail/A 5299-2024 tillsynsbegäran mail.docx", "A 5299-2024")</f>
        <v/>
      </c>
    </row>
    <row r="34" ht="15" customHeight="1">
      <c r="A34" t="inlineStr">
        <is>
          <t>A 10943-2024</t>
        </is>
      </c>
      <c r="B34" s="1" t="n">
        <v>45370</v>
      </c>
      <c r="C34" s="1" t="n">
        <v>45763</v>
      </c>
      <c r="D34" t="inlineStr">
        <is>
          <t>DALARNAS LÄN</t>
        </is>
      </c>
      <c r="E34" t="inlineStr">
        <is>
          <t>AVESTA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HYPERLINK("https://klasma.github.io/Logging_2084/artfynd/A 10943-2024 artfynd.xlsx", "A 10943-2024")</f>
        <v/>
      </c>
      <c r="T34">
        <f>HYPERLINK("https://klasma.github.io/Logging_2084/kartor/A 10943-2024 karta.png", "A 10943-2024")</f>
        <v/>
      </c>
      <c r="V34">
        <f>HYPERLINK("https://klasma.github.io/Logging_2084/klagomål/A 10943-2024 FSC-klagomål.docx", "A 10943-2024")</f>
        <v/>
      </c>
      <c r="W34">
        <f>HYPERLINK("https://klasma.github.io/Logging_2084/klagomålsmail/A 10943-2024 FSC-klagomål mail.docx", "A 10943-2024")</f>
        <v/>
      </c>
      <c r="X34">
        <f>HYPERLINK("https://klasma.github.io/Logging_2084/tillsyn/A 10943-2024 tillsynsbegäran.docx", "A 10943-2024")</f>
        <v/>
      </c>
      <c r="Y34">
        <f>HYPERLINK("https://klasma.github.io/Logging_2084/tillsynsmail/A 10943-2024 tillsynsbegäran mail.docx", "A 10943-2024")</f>
        <v/>
      </c>
      <c r="Z34">
        <f>HYPERLINK("https://klasma.github.io/Logging_2084/fåglar/A 10943-2024 prioriterade fågelarter.docx", "A 10943-2024")</f>
        <v/>
      </c>
    </row>
    <row r="35" ht="15" customHeight="1">
      <c r="A35" t="inlineStr">
        <is>
          <t>A 20084-2024</t>
        </is>
      </c>
      <c r="B35" s="1" t="n">
        <v>45434</v>
      </c>
      <c r="C35" s="1" t="n">
        <v>45763</v>
      </c>
      <c r="D35" t="inlineStr">
        <is>
          <t>DALARNAS LÄN</t>
        </is>
      </c>
      <c r="E35" t="inlineStr">
        <is>
          <t>AVESTA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HYPERLINK("https://klasma.github.io/Logging_2084/artfynd/A 20084-2024 artfynd.xlsx", "A 20084-2024")</f>
        <v/>
      </c>
      <c r="T35">
        <f>HYPERLINK("https://klasma.github.io/Logging_2084/kartor/A 20084-2024 karta.png", "A 20084-2024")</f>
        <v/>
      </c>
      <c r="V35">
        <f>HYPERLINK("https://klasma.github.io/Logging_2084/klagomål/A 20084-2024 FSC-klagomål.docx", "A 20084-2024")</f>
        <v/>
      </c>
      <c r="W35">
        <f>HYPERLINK("https://klasma.github.io/Logging_2084/klagomålsmail/A 20084-2024 FSC-klagomål mail.docx", "A 20084-2024")</f>
        <v/>
      </c>
      <c r="X35">
        <f>HYPERLINK("https://klasma.github.io/Logging_2084/tillsyn/A 20084-2024 tillsynsbegäran.docx", "A 20084-2024")</f>
        <v/>
      </c>
      <c r="Y35">
        <f>HYPERLINK("https://klasma.github.io/Logging_2084/tillsynsmail/A 20084-2024 tillsynsbegäran mail.docx", "A 20084-2024")</f>
        <v/>
      </c>
    </row>
    <row r="36" ht="15" customHeight="1">
      <c r="A36" t="inlineStr">
        <is>
          <t>A 32609-2024</t>
        </is>
      </c>
      <c r="B36" s="1" t="n">
        <v>45513</v>
      </c>
      <c r="C36" s="1" t="n">
        <v>45763</v>
      </c>
      <c r="D36" t="inlineStr">
        <is>
          <t>DALARNAS LÄN</t>
        </is>
      </c>
      <c r="E36" t="inlineStr">
        <is>
          <t>AVESTA</t>
        </is>
      </c>
      <c r="G36" t="n">
        <v>4.4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HYPERLINK("https://klasma.github.io/Logging_2084/artfynd/A 32609-2024 artfynd.xlsx", "A 32609-2024")</f>
        <v/>
      </c>
      <c r="T36">
        <f>HYPERLINK("https://klasma.github.io/Logging_2084/kartor/A 32609-2024 karta.png", "A 32609-2024")</f>
        <v/>
      </c>
      <c r="V36">
        <f>HYPERLINK("https://klasma.github.io/Logging_2084/klagomål/A 32609-2024 FSC-klagomål.docx", "A 32609-2024")</f>
        <v/>
      </c>
      <c r="W36">
        <f>HYPERLINK("https://klasma.github.io/Logging_2084/klagomålsmail/A 32609-2024 FSC-klagomål mail.docx", "A 32609-2024")</f>
        <v/>
      </c>
      <c r="X36">
        <f>HYPERLINK("https://klasma.github.io/Logging_2084/tillsyn/A 32609-2024 tillsynsbegäran.docx", "A 32609-2024")</f>
        <v/>
      </c>
      <c r="Y36">
        <f>HYPERLINK("https://klasma.github.io/Logging_2084/tillsynsmail/A 32609-2024 tillsynsbegäran mail.docx", "A 32609-2024")</f>
        <v/>
      </c>
    </row>
    <row r="37" ht="15" customHeight="1">
      <c r="A37" t="inlineStr">
        <is>
          <t>A 32987-2024</t>
        </is>
      </c>
      <c r="B37" s="1" t="n">
        <v>45517</v>
      </c>
      <c r="C37" s="1" t="n">
        <v>45763</v>
      </c>
      <c r="D37" t="inlineStr">
        <is>
          <t>DALARNAS LÄN</t>
        </is>
      </c>
      <c r="E37" t="inlineStr">
        <is>
          <t>AVESTA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Guldlockmossa</t>
        </is>
      </c>
      <c r="S37">
        <f>HYPERLINK("https://klasma.github.io/Logging_2084/artfynd/A 32987-2024 artfynd.xlsx", "A 32987-2024")</f>
        <v/>
      </c>
      <c r="T37">
        <f>HYPERLINK("https://klasma.github.io/Logging_2084/kartor/A 32987-2024 karta.png", "A 32987-2024")</f>
        <v/>
      </c>
      <c r="V37">
        <f>HYPERLINK("https://klasma.github.io/Logging_2084/klagomål/A 32987-2024 FSC-klagomål.docx", "A 32987-2024")</f>
        <v/>
      </c>
      <c r="W37">
        <f>HYPERLINK("https://klasma.github.io/Logging_2084/klagomålsmail/A 32987-2024 FSC-klagomål mail.docx", "A 32987-2024")</f>
        <v/>
      </c>
      <c r="X37">
        <f>HYPERLINK("https://klasma.github.io/Logging_2084/tillsyn/A 32987-2024 tillsynsbegäran.docx", "A 32987-2024")</f>
        <v/>
      </c>
      <c r="Y37">
        <f>HYPERLINK("https://klasma.github.io/Logging_2084/tillsynsmail/A 32987-2024 tillsynsbegäran mail.docx", "A 32987-2024")</f>
        <v/>
      </c>
    </row>
    <row r="38" ht="15" customHeight="1">
      <c r="A38" t="inlineStr">
        <is>
          <t>A 33662-2024</t>
        </is>
      </c>
      <c r="B38" s="1" t="n">
        <v>45520</v>
      </c>
      <c r="C38" s="1" t="n">
        <v>45763</v>
      </c>
      <c r="D38" t="inlineStr">
        <is>
          <t>DALARNAS LÄN</t>
        </is>
      </c>
      <c r="E38" t="inlineStr">
        <is>
          <t>AVESTA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HYPERLINK("https://klasma.github.io/Logging_2084/artfynd/A 33662-2024 artfynd.xlsx", "A 33662-2024")</f>
        <v/>
      </c>
      <c r="T38">
        <f>HYPERLINK("https://klasma.github.io/Logging_2084/kartor/A 33662-2024 karta.png", "A 33662-2024")</f>
        <v/>
      </c>
      <c r="V38">
        <f>HYPERLINK("https://klasma.github.io/Logging_2084/klagomål/A 33662-2024 FSC-klagomål.docx", "A 33662-2024")</f>
        <v/>
      </c>
      <c r="W38">
        <f>HYPERLINK("https://klasma.github.io/Logging_2084/klagomålsmail/A 33662-2024 FSC-klagomål mail.docx", "A 33662-2024")</f>
        <v/>
      </c>
      <c r="X38">
        <f>HYPERLINK("https://klasma.github.io/Logging_2084/tillsyn/A 33662-2024 tillsynsbegäran.docx", "A 33662-2024")</f>
        <v/>
      </c>
      <c r="Y38">
        <f>HYPERLINK("https://klasma.github.io/Logging_2084/tillsynsmail/A 33662-2024 tillsynsbegäran mail.docx", "A 33662-2024")</f>
        <v/>
      </c>
      <c r="Z38">
        <f>HYPERLINK("https://klasma.github.io/Logging_2084/fåglar/A 33662-2024 prioriterade fågelarter.docx", "A 33662-2024")</f>
        <v/>
      </c>
    </row>
    <row r="39" ht="15" customHeight="1">
      <c r="A39" t="inlineStr">
        <is>
          <t>A 56786-2024</t>
        </is>
      </c>
      <c r="B39" s="1" t="n">
        <v>45628</v>
      </c>
      <c r="C39" s="1" t="n">
        <v>45763</v>
      </c>
      <c r="D39" t="inlineStr">
        <is>
          <t>DALARNAS LÄN</t>
        </is>
      </c>
      <c r="E39" t="inlineStr">
        <is>
          <t>AVESTA</t>
        </is>
      </c>
      <c r="G39" t="n">
        <v>4.7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HYPERLINK("https://klasma.github.io/Logging_2084/artfynd/A 56786-2024 artfynd.xlsx", "A 56786-2024")</f>
        <v/>
      </c>
      <c r="T39">
        <f>HYPERLINK("https://klasma.github.io/Logging_2084/kartor/A 56786-2024 karta.png", "A 56786-2024")</f>
        <v/>
      </c>
      <c r="U39">
        <f>HYPERLINK("https://klasma.github.io/Logging_2084/knärot/A 56786-2024 karta knärot.png", "A 56786-2024")</f>
        <v/>
      </c>
      <c r="V39">
        <f>HYPERLINK("https://klasma.github.io/Logging_2084/klagomål/A 56786-2024 FSC-klagomål.docx", "A 56786-2024")</f>
        <v/>
      </c>
      <c r="W39">
        <f>HYPERLINK("https://klasma.github.io/Logging_2084/klagomålsmail/A 56786-2024 FSC-klagomål mail.docx", "A 56786-2024")</f>
        <v/>
      </c>
      <c r="X39">
        <f>HYPERLINK("https://klasma.github.io/Logging_2084/tillsyn/A 56786-2024 tillsynsbegäran.docx", "A 56786-2024")</f>
        <v/>
      </c>
      <c r="Y39">
        <f>HYPERLINK("https://klasma.github.io/Logging_2084/tillsynsmail/A 56786-2024 tillsynsbegäran mail.docx", "A 56786-2024")</f>
        <v/>
      </c>
    </row>
    <row r="40" ht="15" customHeight="1">
      <c r="A40" t="inlineStr">
        <is>
          <t>A 18152-2019</t>
        </is>
      </c>
      <c r="B40" s="1" t="n">
        <v>43558</v>
      </c>
      <c r="C40" s="1" t="n">
        <v>45763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45763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45763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45763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45763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45763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45763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45763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45763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45763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45763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45763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45763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45763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45763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45763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45763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45763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45763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45763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45763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45763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45763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45763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45763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45763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45763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45763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45763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45763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45763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45763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45763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45763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45763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45763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45763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45763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45763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45763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45763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45763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45763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45763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45763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45763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45763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45763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45763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45763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45763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45763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45763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45763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45763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45763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45763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45763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45763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45763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45763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45763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45763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45763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45763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45763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45763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45763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45763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45763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45763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45763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45763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45763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45763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45763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45763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45763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45763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45763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45763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45763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45763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45763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45763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45763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45763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45763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45763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45763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45763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45763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45763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45763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45763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45763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45763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45763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45763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45763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45763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45763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45763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45763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45763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45763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45763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45763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45763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45763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45763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45763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45763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45763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45763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45763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45763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45763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45763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45763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45763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42704-2021</t>
        </is>
      </c>
      <c r="B161" s="1" t="n">
        <v>44428</v>
      </c>
      <c r="C161" s="1" t="n">
        <v>45763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42735-2021</t>
        </is>
      </c>
      <c r="B162" s="1" t="n">
        <v>44428</v>
      </c>
      <c r="C162" s="1" t="n">
        <v>45763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43767-2021</t>
        </is>
      </c>
      <c r="B163" s="1" t="n">
        <v>44433</v>
      </c>
      <c r="C163" s="1" t="n">
        <v>45763</v>
      </c>
      <c r="D163" t="inlineStr">
        <is>
          <t>DALARNAS LÄN</t>
        </is>
      </c>
      <c r="E163" t="inlineStr">
        <is>
          <t>AVESTA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44710-2021</t>
        </is>
      </c>
      <c r="B164" s="1" t="n">
        <v>44438</v>
      </c>
      <c r="C164" s="1" t="n">
        <v>45763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45606-2021</t>
        </is>
      </c>
      <c r="B165" s="1" t="n">
        <v>44440</v>
      </c>
      <c r="C165" s="1" t="n">
        <v>45763</v>
      </c>
      <c r="D165" t="inlineStr">
        <is>
          <t>DALARNAS LÄN</t>
        </is>
      </c>
      <c r="E165" t="inlineStr">
        <is>
          <t>AVESTA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46175-2021</t>
        </is>
      </c>
      <c r="B166" s="1" t="n">
        <v>44442</v>
      </c>
      <c r="C166" s="1" t="n">
        <v>45763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46221-2021</t>
        </is>
      </c>
      <c r="B167" s="1" t="n">
        <v>44442</v>
      </c>
      <c r="C167" s="1" t="n">
        <v>45763</v>
      </c>
      <c r="D167" t="inlineStr">
        <is>
          <t>DALARNAS LÄN</t>
        </is>
      </c>
      <c r="E167" t="inlineStr">
        <is>
          <t>AVESTA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49392-2021</t>
        </is>
      </c>
      <c r="B168" s="1" t="n">
        <v>44454</v>
      </c>
      <c r="C168" s="1" t="n">
        <v>45763</v>
      </c>
      <c r="D168" t="inlineStr">
        <is>
          <t>DALARNAS LÄN</t>
        </is>
      </c>
      <c r="E168" t="inlineStr">
        <is>
          <t>AVESTA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50806-2021</t>
        </is>
      </c>
      <c r="B169" s="1" t="n">
        <v>44459</v>
      </c>
      <c r="C169" s="1" t="n">
        <v>45763</v>
      </c>
      <c r="D169" t="inlineStr">
        <is>
          <t>DALARNAS LÄN</t>
        </is>
      </c>
      <c r="E169" t="inlineStr">
        <is>
          <t>AVESTA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50863-2021</t>
        </is>
      </c>
      <c r="B170" s="1" t="n">
        <v>44460</v>
      </c>
      <c r="C170" s="1" t="n">
        <v>45763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50886-2021</t>
        </is>
      </c>
      <c r="B171" s="1" t="n">
        <v>44460</v>
      </c>
      <c r="C171" s="1" t="n">
        <v>45763</v>
      </c>
      <c r="D171" t="inlineStr">
        <is>
          <t>DALARNAS LÄN</t>
        </is>
      </c>
      <c r="E171" t="inlineStr">
        <is>
          <t>AVESTA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52818-2021</t>
        </is>
      </c>
      <c r="B172" s="1" t="n">
        <v>44467</v>
      </c>
      <c r="C172" s="1" t="n">
        <v>45763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56171-2021</t>
        </is>
      </c>
      <c r="B173" s="1" t="n">
        <v>44477</v>
      </c>
      <c r="C173" s="1" t="n">
        <v>45763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56428-2021</t>
        </is>
      </c>
      <c r="B174" s="1" t="n">
        <v>44480</v>
      </c>
      <c r="C174" s="1" t="n">
        <v>45763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56954-2021</t>
        </is>
      </c>
      <c r="B175" s="1" t="n">
        <v>44482</v>
      </c>
      <c r="C175" s="1" t="n">
        <v>45763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63519-2021</t>
        </is>
      </c>
      <c r="B176" s="1" t="n">
        <v>44508</v>
      </c>
      <c r="C176" s="1" t="n">
        <v>45763</v>
      </c>
      <c r="D176" t="inlineStr">
        <is>
          <t>DALARNAS LÄN</t>
        </is>
      </c>
      <c r="E176" t="inlineStr">
        <is>
          <t>AVESTA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64768-2021</t>
        </is>
      </c>
      <c r="B177" s="1" t="n">
        <v>44512</v>
      </c>
      <c r="C177" s="1" t="n">
        <v>45763</v>
      </c>
      <c r="D177" t="inlineStr">
        <is>
          <t>DALARNAS LÄN</t>
        </is>
      </c>
      <c r="E177" t="inlineStr">
        <is>
          <t>AVESTA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65738-2021</t>
        </is>
      </c>
      <c r="B178" s="1" t="n">
        <v>44516</v>
      </c>
      <c r="C178" s="1" t="n">
        <v>45763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73172-2021</t>
        </is>
      </c>
      <c r="B179" s="1" t="n">
        <v>44550</v>
      </c>
      <c r="C179" s="1" t="n">
        <v>45763</v>
      </c>
      <c r="D179" t="inlineStr">
        <is>
          <t>DALARNAS LÄN</t>
        </is>
      </c>
      <c r="E179" t="inlineStr">
        <is>
          <t>AVESTA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73377-2021</t>
        </is>
      </c>
      <c r="B180" s="1" t="n">
        <v>44551</v>
      </c>
      <c r="C180" s="1" t="n">
        <v>45763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863-2022</t>
        </is>
      </c>
      <c r="B181" s="1" t="n">
        <v>44571</v>
      </c>
      <c r="C181" s="1" t="n">
        <v>45763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1977-2022</t>
        </is>
      </c>
      <c r="B182" s="1" t="n">
        <v>44575</v>
      </c>
      <c r="C182" s="1" t="n">
        <v>45763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2808-2022</t>
        </is>
      </c>
      <c r="B183" s="1" t="n">
        <v>44581</v>
      </c>
      <c r="C183" s="1" t="n">
        <v>45763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2792-2022</t>
        </is>
      </c>
      <c r="B184" s="1" t="n">
        <v>44581</v>
      </c>
      <c r="C184" s="1" t="n">
        <v>45763</v>
      </c>
      <c r="D184" t="inlineStr">
        <is>
          <t>DALARNAS LÄN</t>
        </is>
      </c>
      <c r="E184" t="inlineStr">
        <is>
          <t>AVESTA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2800-2022</t>
        </is>
      </c>
      <c r="B185" s="1" t="n">
        <v>44581</v>
      </c>
      <c r="C185" s="1" t="n">
        <v>45763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3806-2022</t>
        </is>
      </c>
      <c r="B186" s="1" t="n">
        <v>44587</v>
      </c>
      <c r="C186" s="1" t="n">
        <v>45763</v>
      </c>
      <c r="D186" t="inlineStr">
        <is>
          <t>DALARNAS LÄN</t>
        </is>
      </c>
      <c r="E186" t="inlineStr">
        <is>
          <t>AVESTA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7814-2022</t>
        </is>
      </c>
      <c r="B187" s="1" t="n">
        <v>44608</v>
      </c>
      <c r="C187" s="1" t="n">
        <v>45763</v>
      </c>
      <c r="D187" t="inlineStr">
        <is>
          <t>DALARNAS LÄN</t>
        </is>
      </c>
      <c r="E187" t="inlineStr">
        <is>
          <t>AVESTA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8759-2022</t>
        </is>
      </c>
      <c r="B188" s="1" t="n">
        <v>44613</v>
      </c>
      <c r="C188" s="1" t="n">
        <v>45763</v>
      </c>
      <c r="D188" t="inlineStr">
        <is>
          <t>DALARNAS LÄN</t>
        </is>
      </c>
      <c r="E188" t="inlineStr">
        <is>
          <t>AVESTA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8785-2022</t>
        </is>
      </c>
      <c r="B189" s="1" t="n">
        <v>44614</v>
      </c>
      <c r="C189" s="1" t="n">
        <v>45763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9403-2022</t>
        </is>
      </c>
      <c r="B190" s="1" t="n">
        <v>44616</v>
      </c>
      <c r="C190" s="1" t="n">
        <v>45763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12994-2022</t>
        </is>
      </c>
      <c r="B191" s="1" t="n">
        <v>44643</v>
      </c>
      <c r="C191" s="1" t="n">
        <v>45763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13922-2022</t>
        </is>
      </c>
      <c r="B192" s="1" t="n">
        <v>44650</v>
      </c>
      <c r="C192" s="1" t="n">
        <v>45763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17640-2022</t>
        </is>
      </c>
      <c r="B193" s="1" t="n">
        <v>44680</v>
      </c>
      <c r="C193" s="1" t="n">
        <v>45763</v>
      </c>
      <c r="D193" t="inlineStr">
        <is>
          <t>DALARNAS LÄN</t>
        </is>
      </c>
      <c r="E193" t="inlineStr">
        <is>
          <t>AVESTA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</v>
      </c>
      <c r="C194" s="1" t="n">
        <v>45763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18679-2022</t>
        </is>
      </c>
      <c r="B195" s="1" t="n">
        <v>44687</v>
      </c>
      <c r="C195" s="1" t="n">
        <v>45763</v>
      </c>
      <c r="D195" t="inlineStr">
        <is>
          <t>DALARNAS LÄN</t>
        </is>
      </c>
      <c r="E195" t="inlineStr">
        <is>
          <t>AVESTA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23365-2022</t>
        </is>
      </c>
      <c r="B196" s="1" t="n">
        <v>44720</v>
      </c>
      <c r="C196" s="1" t="n">
        <v>45763</v>
      </c>
      <c r="D196" t="inlineStr">
        <is>
          <t>DALARNAS LÄN</t>
        </is>
      </c>
      <c r="E196" t="inlineStr">
        <is>
          <t>AVESTA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23976-2022</t>
        </is>
      </c>
      <c r="B197" s="1" t="n">
        <v>44722</v>
      </c>
      <c r="C197" s="1" t="n">
        <v>45763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25960-2022</t>
        </is>
      </c>
      <c r="B198" s="1" t="n">
        <v>44734</v>
      </c>
      <c r="C198" s="1" t="n">
        <v>45763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26516-2022</t>
        </is>
      </c>
      <c r="B199" s="1" t="n">
        <v>44739</v>
      </c>
      <c r="C199" s="1" t="n">
        <v>45763</v>
      </c>
      <c r="D199" t="inlineStr">
        <is>
          <t>DALARNAS LÄN</t>
        </is>
      </c>
      <c r="E199" t="inlineStr">
        <is>
          <t>AVESTA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26527-2022</t>
        </is>
      </c>
      <c r="B200" s="1" t="n">
        <v>44739</v>
      </c>
      <c r="C200" s="1" t="n">
        <v>45763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28108-2022</t>
        </is>
      </c>
      <c r="B201" s="1" t="n">
        <v>44746</v>
      </c>
      <c r="C201" s="1" t="n">
        <v>45763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28090-2022</t>
        </is>
      </c>
      <c r="B202" s="1" t="n">
        <v>44746</v>
      </c>
      <c r="C202" s="1" t="n">
        <v>45763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28403-2022</t>
        </is>
      </c>
      <c r="B203" s="1" t="n">
        <v>44747</v>
      </c>
      <c r="C203" s="1" t="n">
        <v>45763</v>
      </c>
      <c r="D203" t="inlineStr">
        <is>
          <t>DALARNAS LÄN</t>
        </is>
      </c>
      <c r="E203" t="inlineStr">
        <is>
          <t>AVESTA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29464-2022</t>
        </is>
      </c>
      <c r="B204" s="1" t="n">
        <v>44753</v>
      </c>
      <c r="C204" s="1" t="n">
        <v>45763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29468-2022</t>
        </is>
      </c>
      <c r="B205" s="1" t="n">
        <v>44753</v>
      </c>
      <c r="C205" s="1" t="n">
        <v>45763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29879-2022</t>
        </is>
      </c>
      <c r="B206" s="1" t="n">
        <v>44756</v>
      </c>
      <c r="C206" s="1" t="n">
        <v>45763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30446-2022</t>
        </is>
      </c>
      <c r="B207" s="1" t="n">
        <v>44761</v>
      </c>
      <c r="C207" s="1" t="n">
        <v>45763</v>
      </c>
      <c r="D207" t="inlineStr">
        <is>
          <t>DALARNAS LÄN</t>
        </is>
      </c>
      <c r="E207" t="inlineStr">
        <is>
          <t>AVESTA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31016-2022</t>
        </is>
      </c>
      <c r="B208" s="1" t="n">
        <v>44768</v>
      </c>
      <c r="C208" s="1" t="n">
        <v>45763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33655-2022</t>
        </is>
      </c>
      <c r="B209" s="1" t="n">
        <v>44789</v>
      </c>
      <c r="C209" s="1" t="n">
        <v>45763</v>
      </c>
      <c r="D209" t="inlineStr">
        <is>
          <t>DALARNAS LÄN</t>
        </is>
      </c>
      <c r="E209" t="inlineStr">
        <is>
          <t>AVESTA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33777-2022</t>
        </is>
      </c>
      <c r="B210" s="1" t="n">
        <v>44790</v>
      </c>
      <c r="C210" s="1" t="n">
        <v>45763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37534-2022</t>
        </is>
      </c>
      <c r="B211" s="1" t="n">
        <v>44809</v>
      </c>
      <c r="C211" s="1" t="n">
        <v>45763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41981-2022</t>
        </is>
      </c>
      <c r="B212" s="1" t="n">
        <v>44830</v>
      </c>
      <c r="C212" s="1" t="n">
        <v>45763</v>
      </c>
      <c r="D212" t="inlineStr">
        <is>
          <t>DALARNAS LÄN</t>
        </is>
      </c>
      <c r="E212" t="inlineStr">
        <is>
          <t>AVESTA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42591-2022</t>
        </is>
      </c>
      <c r="B213" s="1" t="n">
        <v>44831</v>
      </c>
      <c r="C213" s="1" t="n">
        <v>45763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42837-2022</t>
        </is>
      </c>
      <c r="B214" s="1" t="n">
        <v>44832</v>
      </c>
      <c r="C214" s="1" t="n">
        <v>45763</v>
      </c>
      <c r="D214" t="inlineStr">
        <is>
          <t>DALARNAS LÄN</t>
        </is>
      </c>
      <c r="E214" t="inlineStr">
        <is>
          <t>AVESTA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44141-2022</t>
        </is>
      </c>
      <c r="B215" s="1" t="n">
        <v>44839</v>
      </c>
      <c r="C215" s="1" t="n">
        <v>45763</v>
      </c>
      <c r="D215" t="inlineStr">
        <is>
          <t>DALARNAS LÄN</t>
        </is>
      </c>
      <c r="E215" t="inlineStr">
        <is>
          <t>AVESTA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44133-2022</t>
        </is>
      </c>
      <c r="B216" s="1" t="n">
        <v>44839</v>
      </c>
      <c r="C216" s="1" t="n">
        <v>45763</v>
      </c>
      <c r="D216" t="inlineStr">
        <is>
          <t>DALARNAS LÄN</t>
        </is>
      </c>
      <c r="E216" t="inlineStr">
        <is>
          <t>AVESTA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44474-2022</t>
        </is>
      </c>
      <c r="B217" s="1" t="n">
        <v>44840</v>
      </c>
      <c r="C217" s="1" t="n">
        <v>45763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46819-2022</t>
        </is>
      </c>
      <c r="B218" s="1" t="n">
        <v>44851</v>
      </c>
      <c r="C218" s="1" t="n">
        <v>45763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</v>
      </c>
      <c r="C219" s="1" t="n">
        <v>45763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48746-2022</t>
        </is>
      </c>
      <c r="B220" s="1" t="n">
        <v>44855</v>
      </c>
      <c r="C220" s="1" t="n">
        <v>45763</v>
      </c>
      <c r="D220" t="inlineStr">
        <is>
          <t>DALARNAS LÄN</t>
        </is>
      </c>
      <c r="E220" t="inlineStr">
        <is>
          <t>AVESTA</t>
        </is>
      </c>
      <c r="G220" t="n">
        <v>36.8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49358-2022</t>
        </is>
      </c>
      <c r="B221" s="1" t="n">
        <v>44861</v>
      </c>
      <c r="C221" s="1" t="n">
        <v>45763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49614-2022</t>
        </is>
      </c>
      <c r="B222" s="1" t="n">
        <v>44862</v>
      </c>
      <c r="C222" s="1" t="n">
        <v>45763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49618-2022</t>
        </is>
      </c>
      <c r="B223" s="1" t="n">
        <v>44862</v>
      </c>
      <c r="C223" s="1" t="n">
        <v>45763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49628-2022</t>
        </is>
      </c>
      <c r="B224" s="1" t="n">
        <v>44862</v>
      </c>
      <c r="C224" s="1" t="n">
        <v>45763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49615-2022</t>
        </is>
      </c>
      <c r="B225" s="1" t="n">
        <v>44862</v>
      </c>
      <c r="C225" s="1" t="n">
        <v>45763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49619-2022</t>
        </is>
      </c>
      <c r="B226" s="1" t="n">
        <v>44862</v>
      </c>
      <c r="C226" s="1" t="n">
        <v>45763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50900-2022</t>
        </is>
      </c>
      <c r="B227" s="1" t="n">
        <v>44865</v>
      </c>
      <c r="C227" s="1" t="n">
        <v>45763</v>
      </c>
      <c r="D227" t="inlineStr">
        <is>
          <t>DALARNAS LÄN</t>
        </is>
      </c>
      <c r="E227" t="inlineStr">
        <is>
          <t>AVESTA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51789-2022</t>
        </is>
      </c>
      <c r="B228" s="1" t="n">
        <v>44867</v>
      </c>
      <c r="C228" s="1" t="n">
        <v>45763</v>
      </c>
      <c r="D228" t="inlineStr">
        <is>
          <t>DALARNAS LÄN</t>
        </is>
      </c>
      <c r="E228" t="inlineStr">
        <is>
          <t>AVESTA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51671-2022</t>
        </is>
      </c>
      <c r="B229" s="1" t="n">
        <v>44872</v>
      </c>
      <c r="C229" s="1" t="n">
        <v>45763</v>
      </c>
      <c r="D229" t="inlineStr">
        <is>
          <t>DALARNAS LÄN</t>
        </is>
      </c>
      <c r="E229" t="inlineStr">
        <is>
          <t>AVESTA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52280-2022</t>
        </is>
      </c>
      <c r="B230" s="1" t="n">
        <v>44873</v>
      </c>
      <c r="C230" s="1" t="n">
        <v>45763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52767-2022</t>
        </is>
      </c>
      <c r="B231" s="1" t="n">
        <v>44875</v>
      </c>
      <c r="C231" s="1" t="n">
        <v>45763</v>
      </c>
      <c r="D231" t="inlineStr">
        <is>
          <t>DALARNAS LÄN</t>
        </is>
      </c>
      <c r="E231" t="inlineStr">
        <is>
          <t>AVESTA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53119-2022</t>
        </is>
      </c>
      <c r="B232" s="1" t="n">
        <v>44876</v>
      </c>
      <c r="C232" s="1" t="n">
        <v>45763</v>
      </c>
      <c r="D232" t="inlineStr">
        <is>
          <t>DALARNAS LÄN</t>
        </is>
      </c>
      <c r="E232" t="inlineStr">
        <is>
          <t>AVESTA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56546-2022</t>
        </is>
      </c>
      <c r="B233" s="1" t="n">
        <v>44887</v>
      </c>
      <c r="C233" s="1" t="n">
        <v>45763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56464-2022</t>
        </is>
      </c>
      <c r="B234" s="1" t="n">
        <v>44893</v>
      </c>
      <c r="C234" s="1" t="n">
        <v>45763</v>
      </c>
      <c r="D234" t="inlineStr">
        <is>
          <t>DALARNAS LÄN</t>
        </is>
      </c>
      <c r="E234" t="inlineStr">
        <is>
          <t>AVESTA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56757-2022</t>
        </is>
      </c>
      <c r="B235" s="1" t="n">
        <v>44894</v>
      </c>
      <c r="C235" s="1" t="n">
        <v>45763</v>
      </c>
      <c r="D235" t="inlineStr">
        <is>
          <t>DALARNAS LÄN</t>
        </is>
      </c>
      <c r="E235" t="inlineStr">
        <is>
          <t>AVESTA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58094-2022</t>
        </is>
      </c>
      <c r="B236" s="1" t="n">
        <v>44900</v>
      </c>
      <c r="C236" s="1" t="n">
        <v>45763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58526-2022</t>
        </is>
      </c>
      <c r="B237" s="1" t="n">
        <v>44902</v>
      </c>
      <c r="C237" s="1" t="n">
        <v>45763</v>
      </c>
      <c r="D237" t="inlineStr">
        <is>
          <t>DALARNAS LÄN</t>
        </is>
      </c>
      <c r="E237" t="inlineStr">
        <is>
          <t>AVESTA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59869-2022</t>
        </is>
      </c>
      <c r="B238" s="1" t="n">
        <v>44908</v>
      </c>
      <c r="C238" s="1" t="n">
        <v>45763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173-2023</t>
        </is>
      </c>
      <c r="B239" s="1" t="n">
        <v>44922</v>
      </c>
      <c r="C239" s="1" t="n">
        <v>45763</v>
      </c>
      <c r="D239" t="inlineStr">
        <is>
          <t>DALARNAS LÄN</t>
        </is>
      </c>
      <c r="E239" t="inlineStr">
        <is>
          <t>AVESTA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3305-2023</t>
        </is>
      </c>
      <c r="B240" s="1" t="n">
        <v>44949</v>
      </c>
      <c r="C240" s="1" t="n">
        <v>45763</v>
      </c>
      <c r="D240" t="inlineStr">
        <is>
          <t>DALARNAS LÄN</t>
        </is>
      </c>
      <c r="E240" t="inlineStr">
        <is>
          <t>AVESTA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3638-2023</t>
        </is>
      </c>
      <c r="B241" s="1" t="n">
        <v>44950</v>
      </c>
      <c r="C241" s="1" t="n">
        <v>45763</v>
      </c>
      <c r="D241" t="inlineStr">
        <is>
          <t>DALARNAS LÄN</t>
        </is>
      </c>
      <c r="E241" t="inlineStr">
        <is>
          <t>AVESTA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3798-2023</t>
        </is>
      </c>
      <c r="B242" s="1" t="n">
        <v>44951</v>
      </c>
      <c r="C242" s="1" t="n">
        <v>45763</v>
      </c>
      <c r="D242" t="inlineStr">
        <is>
          <t>DALARNAS LÄN</t>
        </is>
      </c>
      <c r="E242" t="inlineStr">
        <is>
          <t>AVESTA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6262-2023</t>
        </is>
      </c>
      <c r="B243" s="1" t="n">
        <v>44963</v>
      </c>
      <c r="C243" s="1" t="n">
        <v>45763</v>
      </c>
      <c r="D243" t="inlineStr">
        <is>
          <t>DALARNAS LÄN</t>
        </is>
      </c>
      <c r="E243" t="inlineStr">
        <is>
          <t>AVESTA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6587-2023</t>
        </is>
      </c>
      <c r="B244" s="1" t="n">
        <v>44966</v>
      </c>
      <c r="C244" s="1" t="n">
        <v>45763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6521-2023</t>
        </is>
      </c>
      <c r="B245" s="1" t="n">
        <v>44966</v>
      </c>
      <c r="C245" s="1" t="n">
        <v>45763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6971-2023</t>
        </is>
      </c>
      <c r="B246" s="1" t="n">
        <v>44967</v>
      </c>
      <c r="C246" s="1" t="n">
        <v>45763</v>
      </c>
      <c r="D246" t="inlineStr">
        <is>
          <t>DALARNAS LÄN</t>
        </is>
      </c>
      <c r="E246" t="inlineStr">
        <is>
          <t>AVESTA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7317-2023</t>
        </is>
      </c>
      <c r="B247" s="1" t="n">
        <v>44970</v>
      </c>
      <c r="C247" s="1" t="n">
        <v>45763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7493-2023</t>
        </is>
      </c>
      <c r="B248" s="1" t="n">
        <v>44971</v>
      </c>
      <c r="C248" s="1" t="n">
        <v>45763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7490-2023</t>
        </is>
      </c>
      <c r="B249" s="1" t="n">
        <v>44971</v>
      </c>
      <c r="C249" s="1" t="n">
        <v>45763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7604-2023</t>
        </is>
      </c>
      <c r="B250" s="1" t="n">
        <v>44972</v>
      </c>
      <c r="C250" s="1" t="n">
        <v>45763</v>
      </c>
      <c r="D250" t="inlineStr">
        <is>
          <t>DALARNAS LÄN</t>
        </is>
      </c>
      <c r="E250" t="inlineStr">
        <is>
          <t>AVESTA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8524-2023</t>
        </is>
      </c>
      <c r="B251" s="1" t="n">
        <v>44972</v>
      </c>
      <c r="C251" s="1" t="n">
        <v>45763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8698-2023</t>
        </is>
      </c>
      <c r="B252" s="1" t="n">
        <v>44972</v>
      </c>
      <c r="C252" s="1" t="n">
        <v>45763</v>
      </c>
      <c r="D252" t="inlineStr">
        <is>
          <t>DALARNAS LÄN</t>
        </is>
      </c>
      <c r="E252" t="inlineStr">
        <is>
          <t>AVESTA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8520-2023</t>
        </is>
      </c>
      <c r="B253" s="1" t="n">
        <v>44972</v>
      </c>
      <c r="C253" s="1" t="n">
        <v>45763</v>
      </c>
      <c r="D253" t="inlineStr">
        <is>
          <t>DALARNAS LÄN</t>
        </is>
      </c>
      <c r="E253" t="inlineStr">
        <is>
          <t>AVESTA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8521-2023</t>
        </is>
      </c>
      <c r="B254" s="1" t="n">
        <v>44977</v>
      </c>
      <c r="C254" s="1" t="n">
        <v>45763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8523-2023</t>
        </is>
      </c>
      <c r="B255" s="1" t="n">
        <v>44977</v>
      </c>
      <c r="C255" s="1" t="n">
        <v>45763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9148-2023</t>
        </is>
      </c>
      <c r="B256" s="1" t="n">
        <v>44980</v>
      </c>
      <c r="C256" s="1" t="n">
        <v>45763</v>
      </c>
      <c r="D256" t="inlineStr">
        <is>
          <t>DALARNAS LÄN</t>
        </is>
      </c>
      <c r="E256" t="inlineStr">
        <is>
          <t>AVESTA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9395-2023</t>
        </is>
      </c>
      <c r="B257" s="1" t="n">
        <v>44981</v>
      </c>
      <c r="C257" s="1" t="n">
        <v>45763</v>
      </c>
      <c r="D257" t="inlineStr">
        <is>
          <t>DALARNAS LÄN</t>
        </is>
      </c>
      <c r="E257" t="inlineStr">
        <is>
          <t>AVESTA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11425-2023</t>
        </is>
      </c>
      <c r="B258" s="1" t="n">
        <v>44993</v>
      </c>
      <c r="C258" s="1" t="n">
        <v>45763</v>
      </c>
      <c r="D258" t="inlineStr">
        <is>
          <t>DALARNAS LÄN</t>
        </is>
      </c>
      <c r="E258" t="inlineStr">
        <is>
          <t>AVESTA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11449-2023</t>
        </is>
      </c>
      <c r="B259" s="1" t="n">
        <v>44993</v>
      </c>
      <c r="C259" s="1" t="n">
        <v>45763</v>
      </c>
      <c r="D259" t="inlineStr">
        <is>
          <t>DALARNAS LÄN</t>
        </is>
      </c>
      <c r="E259" t="inlineStr">
        <is>
          <t>AVESTA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12087-2023</t>
        </is>
      </c>
      <c r="B260" s="1" t="n">
        <v>44998</v>
      </c>
      <c r="C260" s="1" t="n">
        <v>45763</v>
      </c>
      <c r="D260" t="inlineStr">
        <is>
          <t>DALARNAS LÄN</t>
        </is>
      </c>
      <c r="E260" t="inlineStr">
        <is>
          <t>AVESTA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12167-2023</t>
        </is>
      </c>
      <c r="B261" s="1" t="n">
        <v>44998</v>
      </c>
      <c r="C261" s="1" t="n">
        <v>45763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12165-2023</t>
        </is>
      </c>
      <c r="B262" s="1" t="n">
        <v>44998</v>
      </c>
      <c r="C262" s="1" t="n">
        <v>45763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12351-2023</t>
        </is>
      </c>
      <c r="B263" s="1" t="n">
        <v>44999</v>
      </c>
      <c r="C263" s="1" t="n">
        <v>45763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14021-2023</t>
        </is>
      </c>
      <c r="B264" s="1" t="n">
        <v>45007</v>
      </c>
      <c r="C264" s="1" t="n">
        <v>45763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14027-2023</t>
        </is>
      </c>
      <c r="B265" s="1" t="n">
        <v>45007</v>
      </c>
      <c r="C265" s="1" t="n">
        <v>45763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14023-2023</t>
        </is>
      </c>
      <c r="B266" s="1" t="n">
        <v>45007</v>
      </c>
      <c r="C266" s="1" t="n">
        <v>45763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14030-2023</t>
        </is>
      </c>
      <c r="B267" s="1" t="n">
        <v>45007</v>
      </c>
      <c r="C267" s="1" t="n">
        <v>45763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13940-2023</t>
        </is>
      </c>
      <c r="B268" s="1" t="n">
        <v>45008</v>
      </c>
      <c r="C268" s="1" t="n">
        <v>45763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13983-2023</t>
        </is>
      </c>
      <c r="B269" s="1" t="n">
        <v>45008</v>
      </c>
      <c r="C269" s="1" t="n">
        <v>45763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13965-2023</t>
        </is>
      </c>
      <c r="B270" s="1" t="n">
        <v>45008</v>
      </c>
      <c r="C270" s="1" t="n">
        <v>45763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14090-2023</t>
        </is>
      </c>
      <c r="B271" s="1" t="n">
        <v>45009</v>
      </c>
      <c r="C271" s="1" t="n">
        <v>45763</v>
      </c>
      <c r="D271" t="inlineStr">
        <is>
          <t>DALARNAS LÄN</t>
        </is>
      </c>
      <c r="E271" t="inlineStr">
        <is>
          <t>AVESTA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14084-2023</t>
        </is>
      </c>
      <c r="B272" s="1" t="n">
        <v>45009</v>
      </c>
      <c r="C272" s="1" t="n">
        <v>45763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14603-2023</t>
        </is>
      </c>
      <c r="B273" s="1" t="n">
        <v>45013</v>
      </c>
      <c r="C273" s="1" t="n">
        <v>45763</v>
      </c>
      <c r="D273" t="inlineStr">
        <is>
          <t>DALARNAS LÄN</t>
        </is>
      </c>
      <c r="E273" t="inlineStr">
        <is>
          <t>AVESTA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14773-2023</t>
        </is>
      </c>
      <c r="B274" s="1" t="n">
        <v>45014</v>
      </c>
      <c r="C274" s="1" t="n">
        <v>45763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14944-2023</t>
        </is>
      </c>
      <c r="B275" s="1" t="n">
        <v>45015</v>
      </c>
      <c r="C275" s="1" t="n">
        <v>45763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15066-2023</t>
        </is>
      </c>
      <c r="B276" s="1" t="n">
        <v>45015</v>
      </c>
      <c r="C276" s="1" t="n">
        <v>45763</v>
      </c>
      <c r="D276" t="inlineStr">
        <is>
          <t>DALARNAS LÄN</t>
        </is>
      </c>
      <c r="E276" t="inlineStr">
        <is>
          <t>AVESTA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15361-2023</t>
        </is>
      </c>
      <c r="B277" s="1" t="n">
        <v>45019</v>
      </c>
      <c r="C277" s="1" t="n">
        <v>45763</v>
      </c>
      <c r="D277" t="inlineStr">
        <is>
          <t>DALARNAS LÄN</t>
        </is>
      </c>
      <c r="E277" t="inlineStr">
        <is>
          <t>AVESTA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16488-2023</t>
        </is>
      </c>
      <c r="B278" s="1" t="n">
        <v>45029</v>
      </c>
      <c r="C278" s="1" t="n">
        <v>45763</v>
      </c>
      <c r="D278" t="inlineStr">
        <is>
          <t>DALARNAS LÄN</t>
        </is>
      </c>
      <c r="E278" t="inlineStr">
        <is>
          <t>AVESTA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17560-2023</t>
        </is>
      </c>
      <c r="B279" s="1" t="n">
        <v>45036</v>
      </c>
      <c r="C279" s="1" t="n">
        <v>45763</v>
      </c>
      <c r="D279" t="inlineStr">
        <is>
          <t>DALARNAS LÄN</t>
        </is>
      </c>
      <c r="E279" t="inlineStr">
        <is>
          <t>AVESTA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18042-2023</t>
        </is>
      </c>
      <c r="B280" s="1" t="n">
        <v>45040</v>
      </c>
      <c r="C280" s="1" t="n">
        <v>45763</v>
      </c>
      <c r="D280" t="inlineStr">
        <is>
          <t>DALARNAS LÄN</t>
        </is>
      </c>
      <c r="E280" t="inlineStr">
        <is>
          <t>AVESTA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45763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18333-2023</t>
        </is>
      </c>
      <c r="B282" s="1" t="n">
        <v>45041</v>
      </c>
      <c r="C282" s="1" t="n">
        <v>45763</v>
      </c>
      <c r="D282" t="inlineStr">
        <is>
          <t>DALARNAS LÄN</t>
        </is>
      </c>
      <c r="E282" t="inlineStr">
        <is>
          <t>AVESTA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45763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18966-2023</t>
        </is>
      </c>
      <c r="B284" s="1" t="n">
        <v>45044</v>
      </c>
      <c r="C284" s="1" t="n">
        <v>45763</v>
      </c>
      <c r="D284" t="inlineStr">
        <is>
          <t>DALARNAS LÄN</t>
        </is>
      </c>
      <c r="E284" t="inlineStr">
        <is>
          <t>AVESTA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20705-2023</t>
        </is>
      </c>
      <c r="B285" s="1" t="n">
        <v>45058</v>
      </c>
      <c r="C285" s="1" t="n">
        <v>45763</v>
      </c>
      <c r="D285" t="inlineStr">
        <is>
          <t>DALARNAS LÄN</t>
        </is>
      </c>
      <c r="E285" t="inlineStr">
        <is>
          <t>AVESTA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21412-2023</t>
        </is>
      </c>
      <c r="B286" s="1" t="n">
        <v>45058</v>
      </c>
      <c r="C286" s="1" t="n">
        <v>45763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21322-2023</t>
        </is>
      </c>
      <c r="B287" s="1" t="n">
        <v>45058</v>
      </c>
      <c r="C287" s="1" t="n">
        <v>45763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21430-2023</t>
        </is>
      </c>
      <c r="B288" s="1" t="n">
        <v>45058</v>
      </c>
      <c r="C288" s="1" t="n">
        <v>45763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22876-2023</t>
        </is>
      </c>
      <c r="B289" s="1" t="n">
        <v>45070</v>
      </c>
      <c r="C289" s="1" t="n">
        <v>45763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22816-2023</t>
        </is>
      </c>
      <c r="B290" s="1" t="n">
        <v>45072</v>
      </c>
      <c r="C290" s="1" t="n">
        <v>45763</v>
      </c>
      <c r="D290" t="inlineStr">
        <is>
          <t>DALARNAS LÄN</t>
        </is>
      </c>
      <c r="E290" t="inlineStr">
        <is>
          <t>AVESTA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22818-2023</t>
        </is>
      </c>
      <c r="B291" s="1" t="n">
        <v>45072</v>
      </c>
      <c r="C291" s="1" t="n">
        <v>45763</v>
      </c>
      <c r="D291" t="inlineStr">
        <is>
          <t>DALARNAS LÄN</t>
        </is>
      </c>
      <c r="E291" t="inlineStr">
        <is>
          <t>AVESTA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23974-2023</t>
        </is>
      </c>
      <c r="B292" s="1" t="n">
        <v>45078</v>
      </c>
      <c r="C292" s="1" t="n">
        <v>45763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24177-2023</t>
        </is>
      </c>
      <c r="B293" s="1" t="n">
        <v>45079</v>
      </c>
      <c r="C293" s="1" t="n">
        <v>45763</v>
      </c>
      <c r="D293" t="inlineStr">
        <is>
          <t>DALARNAS LÄN</t>
        </is>
      </c>
      <c r="E293" t="inlineStr">
        <is>
          <t>AVESTA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25463-2023</t>
        </is>
      </c>
      <c r="B294" s="1" t="n">
        <v>45082</v>
      </c>
      <c r="C294" s="1" t="n">
        <v>45763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25445-2023</t>
        </is>
      </c>
      <c r="B295" s="1" t="n">
        <v>45082</v>
      </c>
      <c r="C295" s="1" t="n">
        <v>45763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25743-2023</t>
        </is>
      </c>
      <c r="B296" s="1" t="n">
        <v>45084</v>
      </c>
      <c r="C296" s="1" t="n">
        <v>45763</v>
      </c>
      <c r="D296" t="inlineStr">
        <is>
          <t>DALARNAS LÄN</t>
        </is>
      </c>
      <c r="E296" t="inlineStr">
        <is>
          <t>AVESTA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26317-2023</t>
        </is>
      </c>
      <c r="B297" s="1" t="n">
        <v>45091</v>
      </c>
      <c r="C297" s="1" t="n">
        <v>45763</v>
      </c>
      <c r="D297" t="inlineStr">
        <is>
          <t>DALARNAS LÄN</t>
        </is>
      </c>
      <c r="E297" t="inlineStr">
        <is>
          <t>AVESTA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26715-2023</t>
        </is>
      </c>
      <c r="B298" s="1" t="n">
        <v>45093</v>
      </c>
      <c r="C298" s="1" t="n">
        <v>45763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31116-2023</t>
        </is>
      </c>
      <c r="B299" s="1" t="n">
        <v>45103</v>
      </c>
      <c r="C299" s="1" t="n">
        <v>45763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31136-2023</t>
        </is>
      </c>
      <c r="B300" s="1" t="n">
        <v>45103</v>
      </c>
      <c r="C300" s="1" t="n">
        <v>45763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45763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45763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45763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45763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45763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45763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45763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45763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45763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45763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45763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45763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45763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45763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45763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45763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45763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45763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45763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45763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45763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45763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45763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45763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45763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45763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45763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45763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45763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45763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45763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45763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45763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45763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45763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45763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45763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45763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45763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45763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45763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45763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45763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45763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45763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45763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45763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45763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45763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45763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45763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45763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45763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45763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45763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45763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45763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45763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45763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45763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45763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45763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45763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45763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45763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45763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45763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45763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45763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45763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45763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45763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45763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45763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45763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45763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45763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45763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45763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45763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45763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45763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45763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45763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45763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45763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45763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45763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45763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45763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45763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45763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45763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45763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45763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45763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45763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45763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45763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45763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45763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45763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45763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45763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45763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45763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45763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45763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45763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45763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45763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45763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45763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45763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45763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45763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45763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45763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45763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45763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45763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45763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45763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45763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45763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45763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45763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45763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45763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45763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45763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45763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45763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45763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45763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45763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45763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45763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45763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45763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45763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45763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45763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45763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45763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45763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45763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45763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45763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45763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45763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45763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45763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45763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45763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45763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45763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45763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45763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45763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45763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45763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45763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45763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45763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45763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45763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45763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45763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45763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45763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45763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45763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45763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45763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45763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45763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45763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45763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45763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45763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45763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45763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45763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45763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45763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45763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45763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45763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45763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45763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45763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45763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45763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45763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45763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45763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45763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45763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45763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45763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45763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45763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45763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45763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45763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45763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45763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45763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45763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45763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45763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45763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45763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45763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45763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45763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45763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45763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45763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45763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45763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45763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45763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45763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45763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45763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45763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45763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45763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45763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45763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45763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45763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45763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45763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45763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45763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45763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45763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45763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45763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45763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45763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45763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45763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45763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45763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45763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45763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45763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45763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45763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45763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45763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45763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45763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45763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45763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45763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45763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45763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45763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45763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45763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45763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45763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16527-2025</t>
        </is>
      </c>
      <c r="B568" s="1" t="n">
        <v>45751</v>
      </c>
      <c r="C568" s="1" t="n">
        <v>45763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16533-2025</t>
        </is>
      </c>
      <c r="B569" s="1" t="n">
        <v>45751</v>
      </c>
      <c r="C569" s="1" t="n">
        <v>45763</v>
      </c>
      <c r="D569" t="inlineStr">
        <is>
          <t>DALARNAS LÄN</t>
        </is>
      </c>
      <c r="E569" t="inlineStr">
        <is>
          <t>AVESTA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16523-2025</t>
        </is>
      </c>
      <c r="B570" s="1" t="n">
        <v>45751</v>
      </c>
      <c r="C570" s="1" t="n">
        <v>45763</v>
      </c>
      <c r="D570" t="inlineStr">
        <is>
          <t>DALARNAS LÄN</t>
        </is>
      </c>
      <c r="E570" t="inlineStr">
        <is>
          <t>AVESTA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16522-2025</t>
        </is>
      </c>
      <c r="B571" s="1" t="n">
        <v>45751</v>
      </c>
      <c r="C571" s="1" t="n">
        <v>45763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17260-2025</t>
        </is>
      </c>
      <c r="B572" s="1" t="n">
        <v>45756</v>
      </c>
      <c r="C572" s="1" t="n">
        <v>45763</v>
      </c>
      <c r="D572" t="inlineStr">
        <is>
          <t>DALARNAS LÄN</t>
        </is>
      </c>
      <c r="E572" t="inlineStr">
        <is>
          <t>AVESTA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17346-2025</t>
        </is>
      </c>
      <c r="B573" s="1" t="n">
        <v>45756</v>
      </c>
      <c r="C573" s="1" t="n">
        <v>45763</v>
      </c>
      <c r="D573" t="inlineStr">
        <is>
          <t>DALARNAS LÄN</t>
        </is>
      </c>
      <c r="E573" t="inlineStr">
        <is>
          <t>AVESTA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17255-2025</t>
        </is>
      </c>
      <c r="B574" s="1" t="n">
        <v>45756</v>
      </c>
      <c r="C574" s="1" t="n">
        <v>45763</v>
      </c>
      <c r="D574" t="inlineStr">
        <is>
          <t>DALARNAS LÄN</t>
        </is>
      </c>
      <c r="E574" t="inlineStr">
        <is>
          <t>AVESTA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17370-2025</t>
        </is>
      </c>
      <c r="B575" s="1" t="n">
        <v>45756</v>
      </c>
      <c r="C575" s="1" t="n">
        <v>45763</v>
      </c>
      <c r="D575" t="inlineStr">
        <is>
          <t>DALARNAS LÄN</t>
        </is>
      </c>
      <c r="E575" t="inlineStr">
        <is>
          <t>AVESTA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17371-2025</t>
        </is>
      </c>
      <c r="B576" s="1" t="n">
        <v>45756</v>
      </c>
      <c r="C576" s="1" t="n">
        <v>45763</v>
      </c>
      <c r="D576" t="inlineStr">
        <is>
          <t>DALARNAS LÄN</t>
        </is>
      </c>
      <c r="E576" t="inlineStr">
        <is>
          <t>AVESTA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17913-2025</t>
        </is>
      </c>
      <c r="B577" s="1" t="n">
        <v>45758</v>
      </c>
      <c r="C577" s="1" t="n">
        <v>45763</v>
      </c>
      <c r="D577" t="inlineStr">
        <is>
          <t>DALARNAS LÄN</t>
        </is>
      </c>
      <c r="E577" t="inlineStr">
        <is>
          <t>AVESTA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2025-04-16T16:38:47Z</dcterms:created>
  <dcterms:modified xmlns:dcterms="http://purl.org/dc/terms/" xmlns:xsi="http://www.w3.org/2001/XMLSchema-instance" xsi:type="dcterms:W3CDTF">2025-04-16T16:38:47Z</dcterms:modified>
</cp:coreProperties>
</file>