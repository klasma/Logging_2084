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46239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46239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46239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46239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46239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46239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46239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46239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28087-2025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45817</v>
      </c>
      <c r="E12" s="1" t="n">
        <v>46239</v>
      </c>
      <c r="F12" t="inlineStr">
        <is>
          <t>DALARNAS LÄN</t>
        </is>
      </c>
      <c r="G12" t="inlineStr">
        <is>
          <t>AVESTA</t>
        </is>
      </c>
      <c r="H12" t="inlineStr">
        <is>
          <t>Sveaskog</t>
        </is>
      </c>
      <c r="I12" t="n">
        <v>4.5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1</v>
      </c>
      <c r="V12" s="2" t="inlineStr">
        <is>
          <t>Nordfladdermus
Fläcknycklar</t>
        </is>
      </c>
      <c r="W12">
        <f>HYPERLINK("https://klasma.github.io/Logging_2084/artfynd/A 28087-2025 artfynd.xlsx", "A 28087-2025")</f>
        <v/>
      </c>
      <c r="X12">
        <f>HYPERLINK("https://klasma.github.io/Logging_2084/kartor/A 28087-2025 karta.png", "A 28087-2025")</f>
        <v/>
      </c>
      <c r="Y12">
        <f>HYPERLINK("https://klasma.github.io/Logging_2084/kartor_geotiff/A 28087-2025 georefererad karta.tif", "A 28087-2025")</f>
        <v/>
      </c>
      <c r="AA12">
        <f>HYPERLINK("https://klasma.github.io/Logging_2084/klagomål/A 28087-2025 FSC-klagomål.docx", "A 28087-2025")</f>
        <v/>
      </c>
      <c r="AB12">
        <f>HYPERLINK("https://klasma.github.io/Logging_2084/klagomålsmail/A 28087-2025 FSC-klagomål mail.docx", "A 28087-2025")</f>
        <v/>
      </c>
      <c r="AC12">
        <f>HYPERLINK("https://klasma.github.io/Logging_2084/tillsyn/A 28087-2025 tillsynsbegäran.docx", "A 28087-2025")</f>
        <v/>
      </c>
      <c r="AD12">
        <f>HYPERLINK("https://klasma.github.io/Logging_2084/tillsynsmail/A 28087-2025 tillsynsbegäran mail.docx", "A 28087-2025")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46239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46239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46239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25882-2025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45804</v>
      </c>
      <c r="E17" s="1" t="n">
        <v>46239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HYPERLINK("https://klasma.github.io/Logging_2084/artfynd/A 25882-2025 artfynd.xlsx", "A 25882-2025")</f>
        <v/>
      </c>
      <c r="X17">
        <f>HYPERLINK("https://klasma.github.io/Logging_2084/kartor/A 25882-2025 karta.png", "A 25882-2025")</f>
        <v/>
      </c>
      <c r="Y17">
        <f>HYPERLINK("https://klasma.github.io/Logging_2084/kartor_geotiff/A 25882-2025 georefererad karta.tif", "A 25882-2025")</f>
        <v/>
      </c>
      <c r="AA17">
        <f>HYPERLINK("https://klasma.github.io/Logging_2084/klagomål/A 25882-2025 FSC-klagomål.docx", "A 25882-2025")</f>
        <v/>
      </c>
      <c r="AB17">
        <f>HYPERLINK("https://klasma.github.io/Logging_2084/klagomålsmail/A 25882-2025 FSC-klagomål mail.docx", "A 25882-2025")</f>
        <v/>
      </c>
      <c r="AC17">
        <f>HYPERLINK("https://klasma.github.io/Logging_2084/tillsyn/A 25882-2025 tillsynsbegäran.docx", "A 25882-2025")</f>
        <v/>
      </c>
      <c r="AD17">
        <f>HYPERLINK("https://klasma.github.io/Logging_2084/tillsynsmail/A 25882-2025 tillsynsbegäran mail.docx", "A 25882-2025")</f>
        <v/>
      </c>
      <c r="AE17">
        <f>HYPERLINK("https://klasma.github.io/Logging_2084/fåglar/A 25882-2025 prioriterade fågelarter.docx", "A 25882-2025")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46239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1695-2022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46239</v>
      </c>
      <c r="F19" t="inlineStr">
        <is>
          <t>DALARNAS LÄN</t>
        </is>
      </c>
      <c r="G19" t="inlineStr">
        <is>
          <t>AVESTA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27</v>
      </c>
      <c r="U19" t="n">
        <v>27</v>
      </c>
      <c r="V19" s="2" t="inlineStr">
        <is>
          <t>Knärot</t>
        </is>
      </c>
      <c r="W19">
        <f>HYPERLINK("https://klasma.github.io/Logging_2084/artfynd/A 1695-2022 artfynd.xlsx", "A 1695-2022")</f>
        <v/>
      </c>
      <c r="X19">
        <f>HYPERLINK("https://klasma.github.io/Logging_2084/kartor/A 1695-2022 karta.png", "A 1695-2022")</f>
        <v/>
      </c>
      <c r="Y19">
        <f>HYPERLINK("https://klasma.github.io/Logging_2084/kartor_geotiff/A 1695-2022 georefererad karta.tif", "A 1695-2022")</f>
        <v/>
      </c>
      <c r="Z19">
        <f>HYPERLINK("https://klasma.github.io/Logging_2084/knärot/A 1695-2022 karta knärot.png", "A 1695-2022")</f>
        <v/>
      </c>
      <c r="AA19">
        <f>HYPERLINK("https://klasma.github.io/Logging_2084/klagomål/A 1695-2022 FSC-klagomål.docx", "A 1695-2022")</f>
        <v/>
      </c>
      <c r="AB19">
        <f>HYPERLINK("https://klasma.github.io/Logging_2084/klagomålsmail/A 1695-2022 FSC-klagomål mail.docx", "A 1695-2022")</f>
        <v/>
      </c>
      <c r="AC19">
        <f>HYPERLINK("https://klasma.github.io/Logging_2084/tillsyn/A 1695-2022 tillsynsbegäran.docx", "A 1695-2022")</f>
        <v/>
      </c>
      <c r="AD19">
        <f>HYPERLINK("https://klasma.github.io/Logging_2084/tillsynsmail/A 1695-2022 tillsynsbegäran mail.docx", "A 1695-2022")</f>
        <v/>
      </c>
    </row>
    <row r="20" ht="15" customHeight="1">
      <c r="A20" t="inlineStr">
        <is>
          <t>A 10943-2024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46239</v>
      </c>
      <c r="F20" t="inlineStr">
        <is>
          <t>DALARNAS LÄN</t>
        </is>
      </c>
      <c r="G20" t="inlineStr">
        <is>
          <t>AVESTA</t>
        </is>
      </c>
      <c r="I20" t="n">
        <v>8.5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HYPERLINK("https://klasma.github.io/Logging_2084/artfynd/A 10943-2024 artfynd.xlsx", "A 10943-2024")</f>
        <v/>
      </c>
      <c r="X20">
        <f>HYPERLINK("https://klasma.github.io/Logging_2084/kartor/A 10943-2024 karta.png", "A 10943-2024")</f>
        <v/>
      </c>
      <c r="Y20">
        <f>HYPERLINK("https://klasma.github.io/Logging_2084/kartor_geotiff/A 10943-2024 georefererad karta.tif", "A 10943-2024")</f>
        <v/>
      </c>
      <c r="AA20">
        <f>HYPERLINK("https://klasma.github.io/Logging_2084/klagomål/A 10943-2024 FSC-klagomål.docx", "A 10943-2024")</f>
        <v/>
      </c>
      <c r="AB20">
        <f>HYPERLINK("https://klasma.github.io/Logging_2084/klagomålsmail/A 10943-2024 FSC-klagomål mail.docx", "A 10943-2024")</f>
        <v/>
      </c>
      <c r="AC20">
        <f>HYPERLINK("https://klasma.github.io/Logging_2084/tillsyn/A 10943-2024 tillsynsbegäran.docx", "A 10943-2024")</f>
        <v/>
      </c>
      <c r="AD20">
        <f>HYPERLINK("https://klasma.github.io/Logging_2084/tillsynsmail/A 10943-2024 tillsynsbegäran mail.docx", "A 10943-2024")</f>
        <v/>
      </c>
      <c r="AE20">
        <f>HYPERLINK("https://klasma.github.io/Logging_2084/fåglar/A 10943-2024 prioriterade fågelarter.docx", "A 10943-2024")</f>
        <v/>
      </c>
    </row>
    <row r="21" ht="15" customHeight="1">
      <c r="A21" t="inlineStr">
        <is>
          <t>A 17913-2025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46239</v>
      </c>
      <c r="F21" t="inlineStr">
        <is>
          <t>DALARNAS LÄN</t>
        </is>
      </c>
      <c r="G21" t="inlineStr">
        <is>
          <t>AVESTA</t>
        </is>
      </c>
      <c r="I21" t="n">
        <v>10.2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7</v>
      </c>
      <c r="U21" t="n">
        <v>7</v>
      </c>
      <c r="V21" s="2" t="inlineStr">
        <is>
          <t>Knärot</t>
        </is>
      </c>
      <c r="W21">
        <f>HYPERLINK("https://klasma.github.io/Logging_2084/artfynd/A 17913-2025 artfynd.xlsx", "A 17913-2025")</f>
        <v/>
      </c>
      <c r="X21">
        <f>HYPERLINK("https://klasma.github.io/Logging_2084/kartor/A 17913-2025 karta.png", "A 17913-2025")</f>
        <v/>
      </c>
      <c r="Y21">
        <f>HYPERLINK("https://klasma.github.io/Logging_2084/kartor_geotiff/A 17913-2025 georefererad karta.tif", "A 17913-2025")</f>
        <v/>
      </c>
      <c r="Z21">
        <f>HYPERLINK("https://klasma.github.io/Logging_2084/knärot/A 17913-2025 karta knärot.png", "A 17913-2025")</f>
        <v/>
      </c>
      <c r="AA21">
        <f>HYPERLINK("https://klasma.github.io/Logging_2084/klagomål/A 17913-2025 FSC-klagomål.docx", "A 17913-2025")</f>
        <v/>
      </c>
      <c r="AB21">
        <f>HYPERLINK("https://klasma.github.io/Logging_2084/klagomålsmail/A 17913-2025 FSC-klagomål mail.docx", "A 17913-2025")</f>
        <v/>
      </c>
      <c r="AC21">
        <f>HYPERLINK("https://klasma.github.io/Logging_2084/tillsyn/A 17913-2025 tillsynsbegäran.docx", "A 17913-2025")</f>
        <v/>
      </c>
      <c r="AD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46239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HYPERLINK("https://klasma.github.io/Logging_2084/artfynd/A 36007-2025 artfynd.xlsx", "A 36007-2025")</f>
        <v/>
      </c>
      <c r="X22">
        <f>HYPERLINK("https://klasma.github.io/Logging_2084/kartor/A 36007-2025 karta.png", "A 36007-2025")</f>
        <v/>
      </c>
      <c r="Y22">
        <f>HYPERLINK("https://klasma.github.io/Logging_2084/kartor_geotiff/A 36007-2025 georefererad karta.tif", "A 36007-2025")</f>
        <v/>
      </c>
      <c r="AA22">
        <f>HYPERLINK("https://klasma.github.io/Logging_2084/klagomål/A 36007-2025 FSC-klagomål.docx", "A 36007-2025")</f>
        <v/>
      </c>
      <c r="AB22">
        <f>HYPERLINK("https://klasma.github.io/Logging_2084/klagomålsmail/A 36007-2025 FSC-klagomål mail.docx", "A 36007-2025")</f>
        <v/>
      </c>
      <c r="AC22">
        <f>HYPERLINK("https://klasma.github.io/Logging_2084/tillsyn/A 36007-2025 tillsynsbegäran.docx", "A 36007-2025")</f>
        <v/>
      </c>
      <c r="AD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46239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HYPERLINK("https://klasma.github.io/Logging_2084/artfynd/A 36002-2025 artfynd.xlsx", "A 36002-2025")</f>
        <v/>
      </c>
      <c r="X23">
        <f>HYPERLINK("https://klasma.github.io/Logging_2084/kartor/A 36002-2025 karta.png", "A 36002-2025")</f>
        <v/>
      </c>
      <c r="Y23">
        <f>HYPERLINK("https://klasma.github.io/Logging_2084/kartor_geotiff/A 36002-2025 georefererad karta.tif", "A 36002-2025")</f>
        <v/>
      </c>
      <c r="AA23">
        <f>HYPERLINK("https://klasma.github.io/Logging_2084/klagomål/A 36002-2025 FSC-klagomål.docx", "A 36002-2025")</f>
        <v/>
      </c>
      <c r="AB23">
        <f>HYPERLINK("https://klasma.github.io/Logging_2084/klagomålsmail/A 36002-2025 FSC-klagomål mail.docx", "A 36002-2025")</f>
        <v/>
      </c>
      <c r="AC23">
        <f>HYPERLINK("https://klasma.github.io/Logging_2084/tillsyn/A 36002-2025 tillsynsbegäran.docx", "A 36002-2025")</f>
        <v/>
      </c>
      <c r="AD23">
        <f>HYPERLINK("https://klasma.github.io/Logging_2084/tillsynsmail/A 36002-2025 tillsynsbegäran mail.docx", "A 36002-2025")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46239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1993-2026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46035</v>
      </c>
      <c r="E25" s="1" t="n">
        <v>46239</v>
      </c>
      <c r="F25" t="inlineStr">
        <is>
          <t>DALARNAS LÄN</t>
        </is>
      </c>
      <c r="G25" t="inlineStr">
        <is>
          <t>AVESTA</t>
        </is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HYPERLINK("https://klasma.github.io/Logging_2084/artfynd/A 1993-2026 artfynd.xlsx", "A 1993-2026")</f>
        <v/>
      </c>
      <c r="X25">
        <f>HYPERLINK("https://klasma.github.io/Logging_2084/kartor/A 1993-2026 karta.png", "A 1993-2026")</f>
        <v/>
      </c>
      <c r="Y25">
        <f>HYPERLINK("https://klasma.github.io/Logging_2084/kartor_geotiff/A 1993-2026 georefererad karta.tif", "A 1993-2026")</f>
        <v/>
      </c>
      <c r="AA25">
        <f>HYPERLINK("https://klasma.github.io/Logging_2084/klagomål/A 1993-2026 FSC-klagomål.docx", "A 1993-2026")</f>
        <v/>
      </c>
      <c r="AB25">
        <f>HYPERLINK("https://klasma.github.io/Logging_2084/klagomålsmail/A 1993-2026 FSC-klagomål mail.docx", "A 1993-2026")</f>
        <v/>
      </c>
      <c r="AC25">
        <f>HYPERLINK("https://klasma.github.io/Logging_2084/tillsyn/A 1993-2026 tillsynsbegäran.docx", "A 1993-2026")</f>
        <v/>
      </c>
      <c r="AD25">
        <f>HYPERLINK("https://klasma.github.io/Logging_2084/tillsynsmail/A 1993-2026 tillsynsbegäran mail.docx", "A 1993-2026")</f>
        <v/>
      </c>
    </row>
    <row r="26" ht="15" customHeight="1">
      <c r="A26" t="inlineStr">
        <is>
          <t>A 53814-2025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45961</v>
      </c>
      <c r="E26" s="1" t="n">
        <v>46239</v>
      </c>
      <c r="F26" t="inlineStr">
        <is>
          <t>DALARNAS LÄN</t>
        </is>
      </c>
      <c r="G26" t="inlineStr">
        <is>
          <t>AVESTA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HYPERLINK("https://klasma.github.io/Logging_2084/artfynd/A 53814-2025 artfynd.xlsx", "A 53814-2025")</f>
        <v/>
      </c>
      <c r="X26">
        <f>HYPERLINK("https://klasma.github.io/Logging_2084/kartor/A 53814-2025 karta.png", "A 53814-2025")</f>
        <v/>
      </c>
      <c r="Y26">
        <f>HYPERLINK("https://klasma.github.io/Logging_2084/kartor_geotiff/A 53814-2025 georefererad karta.tif", "A 53814-2025")</f>
        <v/>
      </c>
      <c r="AA26">
        <f>HYPERLINK("https://klasma.github.io/Logging_2084/klagomål/A 53814-2025 FSC-klagomål.docx", "A 53814-2025")</f>
        <v/>
      </c>
      <c r="AB26">
        <f>HYPERLINK("https://klasma.github.io/Logging_2084/klagomålsmail/A 53814-2025 FSC-klagomål mail.docx", "A 53814-2025")</f>
        <v/>
      </c>
      <c r="AC26">
        <f>HYPERLINK("https://klasma.github.io/Logging_2084/tillsyn/A 53814-2025 tillsynsbegäran.docx", "A 53814-2025")</f>
        <v/>
      </c>
      <c r="AD26">
        <f>HYPERLINK("https://klasma.github.io/Logging_2084/tillsynsmail/A 53814-2025 tillsynsbegäran mail.docx", "A 53814-2025")</f>
        <v/>
      </c>
    </row>
    <row r="27" ht="15" customHeight="1">
      <c r="A27" t="inlineStr">
        <is>
          <t>A 56786-2024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46239</v>
      </c>
      <c r="F27" t="inlineStr">
        <is>
          <t>DALARNAS LÄN</t>
        </is>
      </c>
      <c r="G27" t="inlineStr">
        <is>
          <t>AVESTA</t>
        </is>
      </c>
      <c r="I27" t="n">
        <v>4.7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Knärot</t>
        </is>
      </c>
      <c r="W27">
        <f>HYPERLINK("https://klasma.github.io/Logging_2084/artfynd/A 56786-2024 artfynd.xlsx", "A 56786-2024")</f>
        <v/>
      </c>
      <c r="X27">
        <f>HYPERLINK("https://klasma.github.io/Logging_2084/kartor/A 56786-2024 karta.png", "A 56786-2024")</f>
        <v/>
      </c>
      <c r="Y27">
        <f>HYPERLINK("https://klasma.github.io/Logging_2084/kartor_geotiff/A 56786-2024 georefererad karta.tif", "A 56786-2024")</f>
        <v/>
      </c>
      <c r="Z27">
        <f>HYPERLINK("https://klasma.github.io/Logging_2084/knärot/A 56786-2024 karta knärot.png", "A 56786-2024")</f>
        <v/>
      </c>
      <c r="AA27">
        <f>HYPERLINK("https://klasma.github.io/Logging_2084/klagomål/A 56786-2024 FSC-klagomål.docx", "A 56786-2024")</f>
        <v/>
      </c>
      <c r="AB27">
        <f>HYPERLINK("https://klasma.github.io/Logging_2084/klagomålsmail/A 56786-2024 FSC-klagomål mail.docx", "A 56786-2024")</f>
        <v/>
      </c>
      <c r="AC27">
        <f>HYPERLINK("https://klasma.github.io/Logging_2084/tillsyn/A 56786-2024 tillsynsbegäran.docx", "A 56786-2024")</f>
        <v/>
      </c>
      <c r="AD27">
        <f>HYPERLINK("https://klasma.github.io/Logging_2084/tillsynsmail/A 56786-2024 tillsynsbegäran mail.docx", "A 56786-2024")</f>
        <v/>
      </c>
    </row>
    <row r="28" ht="15" customHeight="1">
      <c r="A28" t="inlineStr">
        <is>
          <t>A 60446-2025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45995</v>
      </c>
      <c r="E28" s="1" t="n">
        <v>46239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HYPERLINK("https://klasma.github.io/Logging_2084/artfynd/A 60446-2025 artfynd.xlsx", "A 60446-2025")</f>
        <v/>
      </c>
      <c r="X28">
        <f>HYPERLINK("https://klasma.github.io/Logging_2084/kartor/A 60446-2025 karta.png", "A 60446-2025")</f>
        <v/>
      </c>
      <c r="Y28">
        <f>HYPERLINK("https://klasma.github.io/Logging_2084/kartor_geotiff/A 60446-2025 georefererad karta.tif", "A 60446-2025")</f>
        <v/>
      </c>
      <c r="AA28">
        <f>HYPERLINK("https://klasma.github.io/Logging_2084/klagomål/A 60446-2025 FSC-klagomål.docx", "A 60446-2025")</f>
        <v/>
      </c>
      <c r="AB28">
        <f>HYPERLINK("https://klasma.github.io/Logging_2084/klagomålsmail/A 60446-2025 FSC-klagomål mail.docx", "A 60446-2025")</f>
        <v/>
      </c>
      <c r="AC28">
        <f>HYPERLINK("https://klasma.github.io/Logging_2084/tillsyn/A 60446-2025 tillsynsbegäran.docx", "A 60446-2025")</f>
        <v/>
      </c>
      <c r="AD28">
        <f>HYPERLINK("https://klasma.github.io/Logging_2084/tillsynsmail/A 60446-2025 tillsynsbegäran mail.docx", "A 60446-2025")</f>
        <v/>
      </c>
    </row>
    <row r="29" ht="15" customHeight="1">
      <c r="A29" t="inlineStr">
        <is>
          <t>A 15987-2026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46239</v>
      </c>
      <c r="F29" t="inlineStr">
        <is>
          <t>DALARNAS LÄN</t>
        </is>
      </c>
      <c r="G29" t="inlineStr">
        <is>
          <t>AVESTA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HYPERLINK("https://klasma.github.io/Logging_2084/artfynd/A 15987-2026 artfynd.xlsx", "A 15987-2026")</f>
        <v/>
      </c>
      <c r="X29">
        <f>HYPERLINK("https://klasma.github.io/Logging_2084/kartor/A 15987-2026 karta.png", "A 15987-2026")</f>
        <v/>
      </c>
      <c r="Y29">
        <f>HYPERLINK("https://klasma.github.io/Logging_2084/kartor_geotiff/A 15987-2026 georefererad karta.tif", "A 15987-2026")</f>
        <v/>
      </c>
      <c r="AA29">
        <f>HYPERLINK("https://klasma.github.io/Logging_2084/klagomål/A 15987-2026 FSC-klagomål.docx", "A 15987-2026")</f>
        <v/>
      </c>
      <c r="AB29">
        <f>HYPERLINK("https://klasma.github.io/Logging_2084/klagomålsmail/A 15987-2026 FSC-klagomål mail.docx", "A 15987-2026")</f>
        <v/>
      </c>
      <c r="AC29">
        <f>HYPERLINK("https://klasma.github.io/Logging_2084/tillsyn/A 15987-2026 tillsynsbegäran.docx", "A 15987-2026")</f>
        <v/>
      </c>
      <c r="AD29">
        <f>HYPERLINK("https://klasma.github.io/Logging_2084/tillsynsmail/A 15987-2026 tillsynsbegäran mail.docx", "A 15987-2026")</f>
        <v/>
      </c>
    </row>
    <row r="30" ht="15" customHeight="1">
      <c r="A30" t="inlineStr">
        <is>
          <t>A 43508-2024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46239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43508-2024 artfynd.xlsx", "A 43508-2024")</f>
        <v/>
      </c>
      <c r="X30">
        <f>HYPERLINK("https://klasma.github.io/Logging_2084/kartor/A 43508-2024 karta.png", "A 43508-2024")</f>
        <v/>
      </c>
      <c r="Y30">
        <f>HYPERLINK("https://klasma.github.io/Logging_2084/kartor_geotiff/A 43508-2024 georefererad karta.tif", "A 43508-2024")</f>
        <v/>
      </c>
      <c r="AA30">
        <f>HYPERLINK("https://klasma.github.io/Logging_2084/klagomål/A 43508-2024 FSC-klagomål.docx", "A 43508-2024")</f>
        <v/>
      </c>
      <c r="AB30">
        <f>HYPERLINK("https://klasma.github.io/Logging_2084/klagomålsmail/A 43508-2024 FSC-klagomål mail.docx", "A 43508-2024")</f>
        <v/>
      </c>
      <c r="AC30">
        <f>HYPERLINK("https://klasma.github.io/Logging_2084/tillsyn/A 43508-2024 tillsynsbegäran.docx", "A 43508-2024")</f>
        <v/>
      </c>
      <c r="AD30">
        <f>HYPERLINK("https://klasma.github.io/Logging_2084/tillsynsmail/A 43508-2024 tillsynsbegäran mail.docx", "A 43508-2024")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46239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44853-2023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46239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Knytlingsäckmal</t>
        </is>
      </c>
      <c r="W32">
        <f>HYPERLINK("https://klasma.github.io/Logging_2084/artfynd/A 44853-2023 artfynd.xlsx", "A 44853-2023")</f>
        <v/>
      </c>
      <c r="X32">
        <f>HYPERLINK("https://klasma.github.io/Logging_2084/kartor/A 44853-2023 karta.png", "A 44853-2023")</f>
        <v/>
      </c>
      <c r="Y32">
        <f>HYPERLINK("https://klasma.github.io/Logging_2084/kartor_geotiff/A 44853-2023 georefererad karta.tif", "A 44853-2023")</f>
        <v/>
      </c>
      <c r="AA32">
        <f>HYPERLINK("https://klasma.github.io/Logging_2084/klagomål/A 44853-2023 FSC-klagomål.docx", "A 44853-2023")</f>
        <v/>
      </c>
      <c r="AB32">
        <f>HYPERLINK("https://klasma.github.io/Logging_2084/klagomålsmail/A 44853-2023 FSC-klagomål mail.docx", "A 44853-2023")</f>
        <v/>
      </c>
      <c r="AC32">
        <f>HYPERLINK("https://klasma.github.io/Logging_2084/tillsyn/A 44853-2023 tillsynsbegäran.docx", "A 44853-2023")</f>
        <v/>
      </c>
      <c r="AD32">
        <f>HYPERLINK("https://klasma.github.io/Logging_2084/tillsynsmail/A 44853-2023 tillsynsbegäran mail.docx", "A 44853-2023")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46239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46239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46239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44722</v>
      </c>
      <c r="E38" s="1" t="n">
        <v>46239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46239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46239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46239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46239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46239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46239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64768-2021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46239</v>
      </c>
      <c r="F45" t="inlineStr">
        <is>
          <t>DALARNAS LÄN</t>
        </is>
      </c>
      <c r="G45" t="inlineStr">
        <is>
          <t>AVESTA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49392-2021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46239</v>
      </c>
      <c r="F46" t="inlineStr">
        <is>
          <t>DALARNAS LÄN</t>
        </is>
      </c>
      <c r="G46" t="inlineStr">
        <is>
          <t>AVESTA</t>
        </is>
      </c>
      <c r="I46" t="n">
        <v>8.9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46239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46239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44428</v>
      </c>
      <c r="E49" s="1" t="n">
        <v>46239</v>
      </c>
      <c r="F49" t="inlineStr">
        <is>
          <t>DALARNAS LÄN</t>
        </is>
      </c>
      <c r="G49" t="inlineStr">
        <is>
          <t>AVESTA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45606-2021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44440</v>
      </c>
      <c r="E50" s="1" t="n">
        <v>46239</v>
      </c>
      <c r="F50" t="inlineStr">
        <is>
          <t>DALARNAS LÄN</t>
        </is>
      </c>
      <c r="G50" t="inlineStr">
        <is>
          <t>AVESTA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65738-2021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44516</v>
      </c>
      <c r="E51" s="1" t="n">
        <v>46239</v>
      </c>
      <c r="F51" t="inlineStr">
        <is>
          <t>DALARNAS LÄN</t>
        </is>
      </c>
      <c r="G51" t="inlineStr">
        <is>
          <t>AVESTA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46239</v>
      </c>
      <c r="F52" t="inlineStr">
        <is>
          <t>DALARNAS LÄN</t>
        </is>
      </c>
      <c r="G52" t="inlineStr">
        <is>
          <t>AVESTA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44832</v>
      </c>
      <c r="E53" s="1" t="n">
        <v>46239</v>
      </c>
      <c r="F53" t="inlineStr">
        <is>
          <t>DALARNAS LÄN</t>
        </is>
      </c>
      <c r="G53" t="inlineStr">
        <is>
          <t>AVESTA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46239</v>
      </c>
      <c r="F54" t="inlineStr">
        <is>
          <t>DALARNAS LÄN</t>
        </is>
      </c>
      <c r="G54" t="inlineStr">
        <is>
          <t>AVESTA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46239</v>
      </c>
      <c r="F55" t="inlineStr">
        <is>
          <t>DALARNAS LÄN</t>
        </is>
      </c>
      <c r="G55" t="inlineStr">
        <is>
          <t>AVESTA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46239</v>
      </c>
      <c r="F56" t="inlineStr">
        <is>
          <t>DALARNAS LÄN</t>
        </is>
      </c>
      <c r="G56" t="inlineStr">
        <is>
          <t>AVESTA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46239</v>
      </c>
      <c r="F57" t="inlineStr">
        <is>
          <t>DALARNAS LÄN</t>
        </is>
      </c>
      <c r="G57" t="inlineStr">
        <is>
          <t>AVESTA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46239</v>
      </c>
      <c r="F58" t="inlineStr">
        <is>
          <t>DALARNAS LÄN</t>
        </is>
      </c>
      <c r="G58" t="inlineStr">
        <is>
          <t>AVESTA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46239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46239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45269</v>
      </c>
      <c r="E61" s="1" t="n">
        <v>46239</v>
      </c>
      <c r="F61" t="inlineStr">
        <is>
          <t>DALARNAS LÄN</t>
        </is>
      </c>
      <c r="G61" t="inlineStr">
        <is>
          <t>AVESTA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46239</v>
      </c>
      <c r="F62" t="inlineStr">
        <is>
          <t>DALARNAS LÄN</t>
        </is>
      </c>
      <c r="G62" t="inlineStr">
        <is>
          <t>AVESTA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46239</v>
      </c>
      <c r="F63" t="inlineStr">
        <is>
          <t>DALARNAS LÄN</t>
        </is>
      </c>
      <c r="G63" t="inlineStr">
        <is>
          <t>AVESTA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30862-2024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45497</v>
      </c>
      <c r="E64" s="1" t="n">
        <v>46239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46239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45496</v>
      </c>
      <c r="E66" s="1" t="n">
        <v>46239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46239</v>
      </c>
      <c r="F67" t="inlineStr">
        <is>
          <t>DALARNAS LÄN</t>
        </is>
      </c>
      <c r="G67" t="inlineStr">
        <is>
          <t>AVESTA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46239</v>
      </c>
      <c r="F68" t="inlineStr">
        <is>
          <t>DALARNAS LÄN</t>
        </is>
      </c>
      <c r="G68" t="inlineStr">
        <is>
          <t>AVESTA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46239</v>
      </c>
      <c r="F69" t="inlineStr">
        <is>
          <t>DALARNAS LÄN</t>
        </is>
      </c>
      <c r="G69" t="inlineStr">
        <is>
          <t>AVESTA</t>
        </is>
      </c>
      <c r="I69" t="n">
        <v>14.8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46239</v>
      </c>
      <c r="F70" t="inlineStr">
        <is>
          <t>DALARNAS LÄN</t>
        </is>
      </c>
      <c r="G70" t="inlineStr">
        <is>
          <t>AVESTA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46239</v>
      </c>
      <c r="F71" t="inlineStr">
        <is>
          <t>DALARNAS LÄN</t>
        </is>
      </c>
      <c r="G71" t="inlineStr">
        <is>
          <t>AVESTA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46239</v>
      </c>
      <c r="F72" t="inlineStr">
        <is>
          <t>DALARNAS LÄN</t>
        </is>
      </c>
      <c r="G72" t="inlineStr">
        <is>
          <t>AVESTA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44876</v>
      </c>
      <c r="E73" s="1" t="n">
        <v>46239</v>
      </c>
      <c r="F73" t="inlineStr">
        <is>
          <t>DALARNAS LÄN</t>
        </is>
      </c>
      <c r="G73" t="inlineStr">
        <is>
          <t>AVESTA</t>
        </is>
      </c>
      <c r="H73" t="inlineStr">
        <is>
          <t>Kyrkan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46239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46239</v>
      </c>
      <c r="F75" t="inlineStr">
        <is>
          <t>DALARNAS LÄN</t>
        </is>
      </c>
      <c r="G75" t="inlineStr">
        <is>
          <t>AVESTA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45441</v>
      </c>
      <c r="E76" s="1" t="n">
        <v>46239</v>
      </c>
      <c r="F76" t="inlineStr">
        <is>
          <t>DALARNAS LÄN</t>
        </is>
      </c>
      <c r="G76" t="inlineStr">
        <is>
          <t>AVESTA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44438</v>
      </c>
      <c r="E77" s="1" t="n">
        <v>46239</v>
      </c>
      <c r="F77" t="inlineStr">
        <is>
          <t>DALARNAS LÄN</t>
        </is>
      </c>
      <c r="G77" t="inlineStr">
        <is>
          <t>AVESTA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22629-2024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46239</v>
      </c>
      <c r="F78" t="inlineStr">
        <is>
          <t>DALARNAS LÄN</t>
        </is>
      </c>
      <c r="G78" t="inlineStr">
        <is>
          <t>AVESTA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46239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45473</v>
      </c>
      <c r="E80" s="1" t="n">
        <v>46239</v>
      </c>
      <c r="F80" t="inlineStr">
        <is>
          <t>DALARNAS LÄN</t>
        </is>
      </c>
      <c r="G80" t="inlineStr">
        <is>
          <t>AVESTA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45549</v>
      </c>
      <c r="E81" s="1" t="n">
        <v>46239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46239</v>
      </c>
      <c r="F82" t="inlineStr">
        <is>
          <t>DALARNAS LÄN</t>
        </is>
      </c>
      <c r="G82" t="inlineStr">
        <is>
          <t>AVESTA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45514</v>
      </c>
      <c r="E83" s="1" t="n">
        <v>46239</v>
      </c>
      <c r="F83" t="inlineStr">
        <is>
          <t>DALARNAS LÄN</t>
        </is>
      </c>
      <c r="G83" t="inlineStr">
        <is>
          <t>AVESTA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45408</v>
      </c>
      <c r="E84" s="1" t="n">
        <v>46239</v>
      </c>
      <c r="F84" t="inlineStr">
        <is>
          <t>DALARNAS LÄN</t>
        </is>
      </c>
      <c r="G84" t="inlineStr">
        <is>
          <t>AVESTA</t>
        </is>
      </c>
      <c r="H84" t="inlineStr">
        <is>
          <t>Bergvik skog väst AB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46239</v>
      </c>
      <c r="F85" t="inlineStr">
        <is>
          <t>DALARNAS LÄN</t>
        </is>
      </c>
      <c r="G85" t="inlineStr">
        <is>
          <t>AVESTA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44433</v>
      </c>
      <c r="E86" s="1" t="n">
        <v>46239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46239</v>
      </c>
      <c r="F87" t="inlineStr">
        <is>
          <t>DALARNAS LÄN</t>
        </is>
      </c>
      <c r="G87" t="inlineStr">
        <is>
          <t>AVESTA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46239</v>
      </c>
      <c r="F88" t="inlineStr">
        <is>
          <t>DALARNAS LÄN</t>
        </is>
      </c>
      <c r="G88" t="inlineStr">
        <is>
          <t>AVESTA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46239</v>
      </c>
      <c r="F89" t="inlineStr">
        <is>
          <t>DALARNAS LÄN</t>
        </is>
      </c>
      <c r="G89" t="inlineStr">
        <is>
          <t>AVESTA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46239</v>
      </c>
      <c r="F90" t="inlineStr">
        <is>
          <t>DALARNAS LÄN</t>
        </is>
      </c>
      <c r="G90" t="inlineStr">
        <is>
          <t>AVESTA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22816-2023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45072</v>
      </c>
      <c r="E91" s="1" t="n">
        <v>46239</v>
      </c>
      <c r="F91" t="inlineStr">
        <is>
          <t>DALARNAS LÄN</t>
        </is>
      </c>
      <c r="G91" t="inlineStr">
        <is>
          <t>AVESTA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46239</v>
      </c>
      <c r="F92" t="inlineStr">
        <is>
          <t>DALARNAS LÄN</t>
        </is>
      </c>
      <c r="G92" t="inlineStr">
        <is>
          <t>AVESTA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45863</v>
      </c>
      <c r="E93" s="1" t="n">
        <v>46239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46239</v>
      </c>
      <c r="F94" t="inlineStr">
        <is>
          <t>DALARNAS LÄN</t>
        </is>
      </c>
      <c r="G94" t="inlineStr">
        <is>
          <t>AVESTA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45863</v>
      </c>
      <c r="E95" s="1" t="n">
        <v>46239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46239</v>
      </c>
      <c r="F96" t="inlineStr">
        <is>
          <t>DALARNAS LÄN</t>
        </is>
      </c>
      <c r="G96" t="inlineStr">
        <is>
          <t>AVESTA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45863</v>
      </c>
      <c r="E97" s="1" t="n">
        <v>46239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45867</v>
      </c>
      <c r="E98" s="1" t="n">
        <v>46239</v>
      </c>
      <c r="F98" t="inlineStr">
        <is>
          <t>DALARNAS LÄN</t>
        </is>
      </c>
      <c r="G98" t="inlineStr">
        <is>
          <t>AVESTA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46239</v>
      </c>
      <c r="F99" t="inlineStr">
        <is>
          <t>DALARNAS LÄN</t>
        </is>
      </c>
      <c r="G99" t="inlineStr">
        <is>
          <t>AVESTA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46239</v>
      </c>
      <c r="F100" t="inlineStr">
        <is>
          <t>DALARNAS LÄN</t>
        </is>
      </c>
      <c r="G100" t="inlineStr">
        <is>
          <t>AVESTA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46239</v>
      </c>
      <c r="F101" t="inlineStr">
        <is>
          <t>DALARNAS LÄN</t>
        </is>
      </c>
      <c r="G101" t="inlineStr">
        <is>
          <t>AVESTA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9403-2022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44616</v>
      </c>
      <c r="E102" s="1" t="n">
        <v>46239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46239</v>
      </c>
      <c r="F103" t="inlineStr">
        <is>
          <t>DALARNAS LÄN</t>
        </is>
      </c>
      <c r="G103" t="inlineStr">
        <is>
          <t>AVESTA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45019</v>
      </c>
      <c r="E104" s="1" t="n">
        <v>46239</v>
      </c>
      <c r="F104" t="inlineStr">
        <is>
          <t>DALARNAS LÄN</t>
        </is>
      </c>
      <c r="G104" t="inlineStr">
        <is>
          <t>AVESTA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45877</v>
      </c>
      <c r="E105" s="1" t="n">
        <v>46239</v>
      </c>
      <c r="F105" t="inlineStr">
        <is>
          <t>DALARNAS LÄN</t>
        </is>
      </c>
      <c r="G105" t="inlineStr">
        <is>
          <t>AVESTA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46239</v>
      </c>
      <c r="F106" t="inlineStr">
        <is>
          <t>DALARNAS LÄN</t>
        </is>
      </c>
      <c r="G106" t="inlineStr">
        <is>
          <t>AVESTA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46239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46239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46239</v>
      </c>
      <c r="F109" t="inlineStr">
        <is>
          <t>DALARNAS LÄN</t>
        </is>
      </c>
      <c r="G109" t="inlineStr">
        <is>
          <t>AVESTA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45123</v>
      </c>
      <c r="E110" s="1" t="n">
        <v>46239</v>
      </c>
      <c r="F110" t="inlineStr">
        <is>
          <t>DALARNAS LÄN</t>
        </is>
      </c>
      <c r="G110" t="inlineStr">
        <is>
          <t>AVESTA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30737-2024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45496</v>
      </c>
      <c r="E111" s="1" t="n">
        <v>46239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45496</v>
      </c>
      <c r="E112" s="1" t="n">
        <v>46239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46239</v>
      </c>
      <c r="F113" t="inlineStr">
        <is>
          <t>DALARNAS LÄN</t>
        </is>
      </c>
      <c r="G113" t="inlineStr">
        <is>
          <t>AVESTA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46239</v>
      </c>
      <c r="F114" t="inlineStr">
        <is>
          <t>DALARNAS LÄN</t>
        </is>
      </c>
      <c r="G114" t="inlineStr">
        <is>
          <t>AVESTA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44687</v>
      </c>
      <c r="E115" s="1" t="n">
        <v>46239</v>
      </c>
      <c r="F115" t="inlineStr">
        <is>
          <t>DALARNAS LÄN</t>
        </is>
      </c>
      <c r="G115" t="inlineStr">
        <is>
          <t>AVESTA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46239</v>
      </c>
      <c r="F116" t="inlineStr">
        <is>
          <t>DALARNAS LÄN</t>
        </is>
      </c>
      <c r="G116" t="inlineStr">
        <is>
          <t>AVESTA</t>
        </is>
      </c>
      <c r="H116" t="inlineStr">
        <is>
          <t>Bergvik skog väst AB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45314</v>
      </c>
      <c r="E117" s="1" t="n">
        <v>46239</v>
      </c>
      <c r="F117" t="inlineStr">
        <is>
          <t>DALARNAS LÄN</t>
        </is>
      </c>
      <c r="G117" t="inlineStr">
        <is>
          <t>AVESTA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45598</v>
      </c>
      <c r="E118" s="1" t="n">
        <v>46239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46239</v>
      </c>
      <c r="F119" t="inlineStr">
        <is>
          <t>DALARNAS LÄN</t>
        </is>
      </c>
      <c r="G119" t="inlineStr">
        <is>
          <t>AVESTA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50681-2024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45602</v>
      </c>
      <c r="E120" s="1" t="n">
        <v>46239</v>
      </c>
      <c r="F120" t="inlineStr">
        <is>
          <t>DALARNAS LÄN</t>
        </is>
      </c>
      <c r="G120" t="inlineStr">
        <is>
          <t>AVESTA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46239</v>
      </c>
      <c r="F121" t="inlineStr">
        <is>
          <t>DALARNAS LÄN</t>
        </is>
      </c>
      <c r="G121" t="inlineStr">
        <is>
          <t>AVESTA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45044</v>
      </c>
      <c r="E122" s="1" t="n">
        <v>46239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44971</v>
      </c>
      <c r="E123" s="1" t="n">
        <v>46239</v>
      </c>
      <c r="F123" t="inlineStr">
        <is>
          <t>DALARNAS LÄN</t>
        </is>
      </c>
      <c r="G123" t="inlineStr">
        <is>
          <t>AVESTA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46239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46239</v>
      </c>
      <c r="F125" t="inlineStr">
        <is>
          <t>DALARNAS LÄN</t>
        </is>
      </c>
      <c r="G125" t="inlineStr">
        <is>
          <t>AVESTA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46239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45593</v>
      </c>
      <c r="E127" s="1" t="n">
        <v>46239</v>
      </c>
      <c r="F127" t="inlineStr">
        <is>
          <t>DALARNAS LÄN</t>
        </is>
      </c>
      <c r="G127" t="inlineStr">
        <is>
          <t>AVESTA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46239</v>
      </c>
      <c r="F128" t="inlineStr">
        <is>
          <t>DALARNAS LÄN</t>
        </is>
      </c>
      <c r="G128" t="inlineStr">
        <is>
          <t>AVESTA</t>
        </is>
      </c>
      <c r="I128" t="n">
        <v>17.6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46239</v>
      </c>
      <c r="F129" t="inlineStr">
        <is>
          <t>DALARNAS LÄN</t>
        </is>
      </c>
      <c r="G129" t="inlineStr">
        <is>
          <t>AVESTA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45734</v>
      </c>
      <c r="E130" s="1" t="n">
        <v>46239</v>
      </c>
      <c r="F130" t="inlineStr">
        <is>
          <t>DALARNAS LÄN</t>
        </is>
      </c>
      <c r="G130" t="inlineStr">
        <is>
          <t>AVESTA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46239</v>
      </c>
      <c r="F131" t="inlineStr">
        <is>
          <t>DALARNAS LÄN</t>
        </is>
      </c>
      <c r="G131" t="inlineStr">
        <is>
          <t>AVESTA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46239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50682-2024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45602</v>
      </c>
      <c r="E133" s="1" t="n">
        <v>46239</v>
      </c>
      <c r="F133" t="inlineStr">
        <is>
          <t>DALARNAS LÄN</t>
        </is>
      </c>
      <c r="G133" t="inlineStr">
        <is>
          <t>AVESTA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46239</v>
      </c>
      <c r="F134" t="inlineStr">
        <is>
          <t>DALARNAS LÄN</t>
        </is>
      </c>
      <c r="G134" t="inlineStr">
        <is>
          <t>AVESTA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46239</v>
      </c>
      <c r="F135" t="inlineStr">
        <is>
          <t>DALARNAS LÄN</t>
        </is>
      </c>
      <c r="G135" t="inlineStr">
        <is>
          <t>AVESTA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46239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46239</v>
      </c>
      <c r="F137" t="inlineStr">
        <is>
          <t>DALARNAS LÄN</t>
        </is>
      </c>
      <c r="G137" t="inlineStr">
        <is>
          <t>AVESTA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46239</v>
      </c>
      <c r="F138" t="inlineStr">
        <is>
          <t>DALARNAS LÄN</t>
        </is>
      </c>
      <c r="G138" t="inlineStr">
        <is>
          <t>AVESTA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46239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46239</v>
      </c>
      <c r="F140" t="inlineStr">
        <is>
          <t>DALARNAS LÄN</t>
        </is>
      </c>
      <c r="G140" t="inlineStr">
        <is>
          <t>AVESTA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46239</v>
      </c>
      <c r="F141" t="inlineStr">
        <is>
          <t>DALARNAS LÄN</t>
        </is>
      </c>
      <c r="G141" t="inlineStr">
        <is>
          <t>AVESTA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46239</v>
      </c>
      <c r="F142" t="inlineStr">
        <is>
          <t>DALARNAS LÄN</t>
        </is>
      </c>
      <c r="G142" t="inlineStr">
        <is>
          <t>AVESTA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45273</v>
      </c>
      <c r="E143" s="1" t="n">
        <v>46239</v>
      </c>
      <c r="F143" t="inlineStr">
        <is>
          <t>DALARNAS LÄN</t>
        </is>
      </c>
      <c r="G143" t="inlineStr">
        <is>
          <t>AVESTA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46239</v>
      </c>
      <c r="F144" t="inlineStr">
        <is>
          <t>DALARNAS LÄN</t>
        </is>
      </c>
      <c r="G144" t="inlineStr">
        <is>
          <t>AVESTA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45910</v>
      </c>
      <c r="E145" s="1" t="n">
        <v>46239</v>
      </c>
      <c r="F145" t="inlineStr">
        <is>
          <t>DALARNAS LÄN</t>
        </is>
      </c>
      <c r="G145" t="inlineStr">
        <is>
          <t>AVESTA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46239</v>
      </c>
      <c r="F146" t="inlineStr">
        <is>
          <t>DALARNAS LÄN</t>
        </is>
      </c>
      <c r="G146" t="inlineStr">
        <is>
          <t>AVESTA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45007</v>
      </c>
      <c r="E147" s="1" t="n">
        <v>46239</v>
      </c>
      <c r="F147" t="inlineStr">
        <is>
          <t>DALARNAS LÄN</t>
        </is>
      </c>
      <c r="G147" t="inlineStr">
        <is>
          <t>AVESTA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46239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46239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46239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45007</v>
      </c>
      <c r="E151" s="1" t="n">
        <v>46239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46239</v>
      </c>
      <c r="F152" t="inlineStr">
        <is>
          <t>DALARNAS LÄN</t>
        </is>
      </c>
      <c r="G152" t="inlineStr">
        <is>
          <t>AVESTA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63519-2021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44508</v>
      </c>
      <c r="E153" s="1" t="n">
        <v>46239</v>
      </c>
      <c r="F153" t="inlineStr">
        <is>
          <t>DALARNAS LÄN</t>
        </is>
      </c>
      <c r="G153" t="inlineStr">
        <is>
          <t>AVESTA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46239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45505</v>
      </c>
      <c r="E155" s="1" t="n">
        <v>46239</v>
      </c>
      <c r="F155" t="inlineStr">
        <is>
          <t>DALARNAS LÄN</t>
        </is>
      </c>
      <c r="G155" t="inlineStr">
        <is>
          <t>AVESTA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46239</v>
      </c>
      <c r="F156" t="inlineStr">
        <is>
          <t>DALARNAS LÄN</t>
        </is>
      </c>
      <c r="G156" t="inlineStr">
        <is>
          <t>AVESTA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46239</v>
      </c>
      <c r="F157" t="inlineStr">
        <is>
          <t>DALARNAS LÄN</t>
        </is>
      </c>
      <c r="G157" t="inlineStr">
        <is>
          <t>AVESTA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44971</v>
      </c>
      <c r="E158" s="1" t="n">
        <v>46239</v>
      </c>
      <c r="F158" t="inlineStr">
        <is>
          <t>DALARNAS LÄN</t>
        </is>
      </c>
      <c r="G158" t="inlineStr">
        <is>
          <t>AVESTA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45123</v>
      </c>
      <c r="E159" s="1" t="n">
        <v>46239</v>
      </c>
      <c r="F159" t="inlineStr">
        <is>
          <t>DALARNAS LÄN</t>
        </is>
      </c>
      <c r="G159" t="inlineStr">
        <is>
          <t>AVESTA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32771-2023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45123</v>
      </c>
      <c r="E160" s="1" t="n">
        <v>46239</v>
      </c>
      <c r="F160" t="inlineStr">
        <is>
          <t>DALARNAS LÄN</t>
        </is>
      </c>
      <c r="G160" t="inlineStr">
        <is>
          <t>AVESTA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46239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46239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46239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46239</v>
      </c>
      <c r="F164" t="inlineStr">
        <is>
          <t>DALARNAS LÄN</t>
        </is>
      </c>
      <c r="G164" t="inlineStr">
        <is>
          <t>AVESTA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46239</v>
      </c>
      <c r="F165" t="inlineStr">
        <is>
          <t>DALARNAS LÄN</t>
        </is>
      </c>
      <c r="G165" t="inlineStr">
        <is>
          <t>AVESTA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46239</v>
      </c>
      <c r="F166" t="inlineStr">
        <is>
          <t>DALARNAS LÄN</t>
        </is>
      </c>
      <c r="G166" t="inlineStr">
        <is>
          <t>AVESTA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46239</v>
      </c>
      <c r="F167" t="inlineStr">
        <is>
          <t>DALARNAS LÄN</t>
        </is>
      </c>
      <c r="G167" t="inlineStr">
        <is>
          <t>AVESTA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46239</v>
      </c>
      <c r="F168" t="inlineStr">
        <is>
          <t>DALARNAS LÄN</t>
        </is>
      </c>
      <c r="G168" t="inlineStr">
        <is>
          <t>AVESTA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46239</v>
      </c>
      <c r="F169" t="inlineStr">
        <is>
          <t>DALARNAS LÄN</t>
        </is>
      </c>
      <c r="G169" t="inlineStr">
        <is>
          <t>AVESTA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46239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46239</v>
      </c>
      <c r="F171" t="inlineStr">
        <is>
          <t>DALARNAS LÄN</t>
        </is>
      </c>
      <c r="G171" t="inlineStr">
        <is>
          <t>AVESTA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46239</v>
      </c>
      <c r="F172" t="inlineStr">
        <is>
          <t>DALARNAS LÄN</t>
        </is>
      </c>
      <c r="G172" t="inlineStr">
        <is>
          <t>AVESTA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46239</v>
      </c>
      <c r="F173" t="inlineStr">
        <is>
          <t>DALARNAS LÄN</t>
        </is>
      </c>
      <c r="G173" t="inlineStr">
        <is>
          <t>AVESTA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46239</v>
      </c>
      <c r="F174" t="inlineStr">
        <is>
          <t>DALARNAS LÄN</t>
        </is>
      </c>
      <c r="G174" t="inlineStr">
        <is>
          <t>AVESTA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46239</v>
      </c>
      <c r="F175" t="inlineStr">
        <is>
          <t>DALARNAS LÄN</t>
        </is>
      </c>
      <c r="G175" t="inlineStr">
        <is>
          <t>AVESTA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46239</v>
      </c>
      <c r="F176" t="inlineStr">
        <is>
          <t>DALARNAS LÄN</t>
        </is>
      </c>
      <c r="G176" t="inlineStr">
        <is>
          <t>AVESTA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46239</v>
      </c>
      <c r="F177" t="inlineStr">
        <is>
          <t>DALARNAS LÄN</t>
        </is>
      </c>
      <c r="G177" t="inlineStr">
        <is>
          <t>AVESTA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46239</v>
      </c>
      <c r="F178" t="inlineStr">
        <is>
          <t>DALARNAS LÄN</t>
        </is>
      </c>
      <c r="G178" t="inlineStr">
        <is>
          <t>AVESTA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46239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45777</v>
      </c>
      <c r="E180" s="1" t="n">
        <v>46239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45948</v>
      </c>
      <c r="E181" s="1" t="n">
        <v>46239</v>
      </c>
      <c r="F181" t="inlineStr">
        <is>
          <t>DALARNAS LÄN</t>
        </is>
      </c>
      <c r="G181" t="inlineStr">
        <is>
          <t>AVESTA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45948</v>
      </c>
      <c r="E182" s="1" t="n">
        <v>46239</v>
      </c>
      <c r="F182" t="inlineStr">
        <is>
          <t>DALARNAS LÄN</t>
        </is>
      </c>
      <c r="G182" t="inlineStr">
        <is>
          <t>AVESTA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45951</v>
      </c>
      <c r="E183" s="1" t="n">
        <v>46239</v>
      </c>
      <c r="F183" t="inlineStr">
        <is>
          <t>DALARNAS LÄN</t>
        </is>
      </c>
      <c r="G183" t="inlineStr">
        <is>
          <t>AVESTA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46239</v>
      </c>
      <c r="F184" t="inlineStr">
        <is>
          <t>DALARNAS LÄN</t>
        </is>
      </c>
      <c r="G184" t="inlineStr">
        <is>
          <t>AVESTA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45369</v>
      </c>
      <c r="E185" s="1" t="n">
        <v>46239</v>
      </c>
      <c r="F185" t="inlineStr">
        <is>
          <t>DALARNAS LÄN</t>
        </is>
      </c>
      <c r="G185" t="inlineStr">
        <is>
          <t>AVESTA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46239</v>
      </c>
      <c r="F186" t="inlineStr">
        <is>
          <t>DALARNAS LÄN</t>
        </is>
      </c>
      <c r="G186" t="inlineStr">
        <is>
          <t>AVESTA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46239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46239</v>
      </c>
      <c r="F188" t="inlineStr">
        <is>
          <t>DALARNAS LÄN</t>
        </is>
      </c>
      <c r="G188" t="inlineStr">
        <is>
          <t>AVESTA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46239</v>
      </c>
      <c r="F189" t="inlineStr">
        <is>
          <t>DALARNAS LÄN</t>
        </is>
      </c>
      <c r="G189" t="inlineStr">
        <is>
          <t>AVESTA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46239</v>
      </c>
      <c r="F190" t="inlineStr">
        <is>
          <t>DALARNAS LÄN</t>
        </is>
      </c>
      <c r="G190" t="inlineStr">
        <is>
          <t>AVESTA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46239</v>
      </c>
      <c r="F191" t="inlineStr">
        <is>
          <t>DALARNAS LÄN</t>
        </is>
      </c>
      <c r="G191" t="inlineStr">
        <is>
          <t>AVESTA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46239</v>
      </c>
      <c r="F192" t="inlineStr">
        <is>
          <t>DALARNAS LÄN</t>
        </is>
      </c>
      <c r="G192" t="inlineStr">
        <is>
          <t>AVESTA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46239</v>
      </c>
      <c r="F193" t="inlineStr">
        <is>
          <t>DALARNAS LÄN</t>
        </is>
      </c>
      <c r="G193" t="inlineStr">
        <is>
          <t>AVESTA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45702</v>
      </c>
      <c r="E194" s="1" t="n">
        <v>46239</v>
      </c>
      <c r="F194" t="inlineStr">
        <is>
          <t>DALARNAS LÄN</t>
        </is>
      </c>
      <c r="G194" t="inlineStr">
        <is>
          <t>AVESTA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46239</v>
      </c>
      <c r="F195" t="inlineStr">
        <is>
          <t>DALARNAS LÄN</t>
        </is>
      </c>
      <c r="G195" t="inlineStr">
        <is>
          <t>AVESTA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45078</v>
      </c>
      <c r="E196" s="1" t="n">
        <v>46239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46239</v>
      </c>
      <c r="F197" t="inlineStr">
        <is>
          <t>DALARNAS LÄN</t>
        </is>
      </c>
      <c r="G197" t="inlineStr">
        <is>
          <t>AVESTA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45510</v>
      </c>
      <c r="E198" s="1" t="n">
        <v>46239</v>
      </c>
      <c r="F198" t="inlineStr">
        <is>
          <t>DALARNAS LÄN</t>
        </is>
      </c>
      <c r="G198" t="inlineStr">
        <is>
          <t>AVESTA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46239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46239</v>
      </c>
      <c r="F200" t="inlineStr">
        <is>
          <t>DALARNAS LÄN</t>
        </is>
      </c>
      <c r="G200" t="inlineStr">
        <is>
          <t>AVESTA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46239</v>
      </c>
      <c r="F201" t="inlineStr">
        <is>
          <t>DALARNAS LÄN</t>
        </is>
      </c>
      <c r="G201" t="inlineStr">
        <is>
          <t>AVESTA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19359-2025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45769</v>
      </c>
      <c r="E202" s="1" t="n">
        <v>46239</v>
      </c>
      <c r="F202" t="inlineStr">
        <is>
          <t>DALARNAS LÄN</t>
        </is>
      </c>
      <c r="G202" t="inlineStr">
        <is>
          <t>AVESTA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46239</v>
      </c>
      <c r="F203" t="inlineStr">
        <is>
          <t>DALARNAS LÄN</t>
        </is>
      </c>
      <c r="G203" t="inlineStr">
        <is>
          <t>AVESTA</t>
        </is>
      </c>
      <c r="I203" t="n">
        <v>13.7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46239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46239</v>
      </c>
      <c r="F205" t="inlineStr">
        <is>
          <t>DALARNAS LÄN</t>
        </is>
      </c>
      <c r="G205" t="inlineStr">
        <is>
          <t>AVESTA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46239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45238</v>
      </c>
      <c r="E207" s="1" t="n">
        <v>46239</v>
      </c>
      <c r="F207" t="inlineStr">
        <is>
          <t>DALARNAS LÄN</t>
        </is>
      </c>
      <c r="G207" t="inlineStr">
        <is>
          <t>AVESTA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45796</v>
      </c>
      <c r="E208" s="1" t="n">
        <v>46239</v>
      </c>
      <c r="F208" t="inlineStr">
        <is>
          <t>DALARNAS LÄN</t>
        </is>
      </c>
      <c r="G208" t="inlineStr">
        <is>
          <t>AVESTA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46239</v>
      </c>
      <c r="F209" t="inlineStr">
        <is>
          <t>DALARNAS LÄN</t>
        </is>
      </c>
      <c r="G209" t="inlineStr">
        <is>
          <t>AVESTA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46239</v>
      </c>
      <c r="F210" t="inlineStr">
        <is>
          <t>DALARNAS LÄN</t>
        </is>
      </c>
      <c r="G210" t="inlineStr">
        <is>
          <t>AVESTA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45796</v>
      </c>
      <c r="E211" s="1" t="n">
        <v>46239</v>
      </c>
      <c r="F211" t="inlineStr">
        <is>
          <t>DALARNAS LÄN</t>
        </is>
      </c>
      <c r="G211" t="inlineStr">
        <is>
          <t>AVESTA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46239</v>
      </c>
      <c r="F212" t="inlineStr">
        <is>
          <t>DALARNAS LÄN</t>
        </is>
      </c>
      <c r="G212" t="inlineStr">
        <is>
          <t>AVESTA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62093-2024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45656</v>
      </c>
      <c r="E213" s="1" t="n">
        <v>46239</v>
      </c>
      <c r="F213" t="inlineStr">
        <is>
          <t>DALARNAS LÄN</t>
        </is>
      </c>
      <c r="G213" t="inlineStr">
        <is>
          <t>AVESTA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46239</v>
      </c>
      <c r="F214" t="inlineStr">
        <is>
          <t>DALARNAS LÄN</t>
        </is>
      </c>
      <c r="G214" t="inlineStr">
        <is>
          <t>AVESTA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45505</v>
      </c>
      <c r="E215" s="1" t="n">
        <v>46239</v>
      </c>
      <c r="F215" t="inlineStr">
        <is>
          <t>DALARNAS LÄN</t>
        </is>
      </c>
      <c r="G215" t="inlineStr">
        <is>
          <t>AVESTA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24834-2025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45799</v>
      </c>
      <c r="E216" s="1" t="n">
        <v>46239</v>
      </c>
      <c r="F216" t="inlineStr">
        <is>
          <t>DALARNAS LÄN</t>
        </is>
      </c>
      <c r="G216" t="inlineStr">
        <is>
          <t>AVESTA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46239</v>
      </c>
      <c r="F217" t="inlineStr">
        <is>
          <t>DALARNAS LÄN</t>
        </is>
      </c>
      <c r="G217" t="inlineStr">
        <is>
          <t>AVESTA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46239</v>
      </c>
      <c r="F218" t="inlineStr">
        <is>
          <t>DALARNAS LÄN</t>
        </is>
      </c>
      <c r="G218" t="inlineStr">
        <is>
          <t>AVESTA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46239</v>
      </c>
      <c r="F219" t="inlineStr">
        <is>
          <t>DALARNAS LÄN</t>
        </is>
      </c>
      <c r="G219" t="inlineStr">
        <is>
          <t>AVESTA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46239</v>
      </c>
      <c r="F220" t="inlineStr">
        <is>
          <t>DALARNAS LÄN</t>
        </is>
      </c>
      <c r="G220" t="inlineStr">
        <is>
          <t>AVESTA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46239</v>
      </c>
      <c r="F221" t="inlineStr">
        <is>
          <t>DALARNAS LÄN</t>
        </is>
      </c>
      <c r="G221" t="inlineStr">
        <is>
          <t>AVESTA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46239</v>
      </c>
      <c r="F222" t="inlineStr">
        <is>
          <t>DALARNAS LÄN</t>
        </is>
      </c>
      <c r="G222" t="inlineStr">
        <is>
          <t>AVESTA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58165-2025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46239</v>
      </c>
      <c r="F223" t="inlineStr">
        <is>
          <t>DALARNAS LÄN</t>
        </is>
      </c>
      <c r="G223" t="inlineStr">
        <is>
          <t>AVESTA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46239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45008</v>
      </c>
      <c r="E225" s="1" t="n">
        <v>46239</v>
      </c>
      <c r="F225" t="inlineStr">
        <is>
          <t>DALARNAS LÄN</t>
        </is>
      </c>
      <c r="G225" t="inlineStr">
        <is>
          <t>AVESTA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44839</v>
      </c>
      <c r="E226" s="1" t="n">
        <v>46239</v>
      </c>
      <c r="F226" t="inlineStr">
        <is>
          <t>DALARNAS LÄN</t>
        </is>
      </c>
      <c r="G226" t="inlineStr">
        <is>
          <t>AVESTA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46239</v>
      </c>
      <c r="F227" t="inlineStr">
        <is>
          <t>DALARNAS LÄN</t>
        </is>
      </c>
      <c r="G227" t="inlineStr">
        <is>
          <t>AVESTA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46239</v>
      </c>
      <c r="F228" t="inlineStr">
        <is>
          <t>DALARNAS LÄN</t>
        </is>
      </c>
      <c r="G228" t="inlineStr">
        <is>
          <t>AVESTA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46239</v>
      </c>
      <c r="F229" t="inlineStr">
        <is>
          <t>DALARNAS LÄN</t>
        </is>
      </c>
      <c r="G229" t="inlineStr">
        <is>
          <t>AVESTA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46239</v>
      </c>
      <c r="F230" t="inlineStr">
        <is>
          <t>DALARNAS LÄN</t>
        </is>
      </c>
      <c r="G230" t="inlineStr">
        <is>
          <t>AVESTA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46239</v>
      </c>
      <c r="F231" t="inlineStr">
        <is>
          <t>DALARNAS LÄN</t>
        </is>
      </c>
      <c r="G231" t="inlineStr">
        <is>
          <t>AVESTA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46239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46239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46239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46239</v>
      </c>
      <c r="F235" t="inlineStr">
        <is>
          <t>DALARNAS LÄN</t>
        </is>
      </c>
      <c r="G235" t="inlineStr">
        <is>
          <t>AVESTA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46239</v>
      </c>
      <c r="F236" t="inlineStr">
        <is>
          <t>DALARNAS LÄN</t>
        </is>
      </c>
      <c r="G236" t="inlineStr">
        <is>
          <t>AVESTA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46239</v>
      </c>
      <c r="F237" t="inlineStr">
        <is>
          <t>DALARNAS LÄN</t>
        </is>
      </c>
      <c r="G237" t="inlineStr">
        <is>
          <t>AVESTA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16522-2025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45751</v>
      </c>
      <c r="E238" s="1" t="n">
        <v>46239</v>
      </c>
      <c r="F238" t="inlineStr">
        <is>
          <t>DALARNAS LÄN</t>
        </is>
      </c>
      <c r="G238" t="inlineStr">
        <is>
          <t>AVESTA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46175</v>
      </c>
      <c r="E239" s="1" t="n">
        <v>46239</v>
      </c>
      <c r="F239" t="inlineStr">
        <is>
          <t>DALARNAS LÄN</t>
        </is>
      </c>
      <c r="G239" t="inlineStr">
        <is>
          <t>AVESTA</t>
        </is>
      </c>
      <c r="I239" t="n">
        <v>19.2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55549-2023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46239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46239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46239</v>
      </c>
      <c r="F242" t="inlineStr">
        <is>
          <t>DALARNAS LÄN</t>
        </is>
      </c>
      <c r="G242" t="inlineStr">
        <is>
          <t>AVESTA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46239</v>
      </c>
      <c r="F243" t="inlineStr">
        <is>
          <t>DALARNAS LÄN</t>
        </is>
      </c>
      <c r="G243" t="inlineStr">
        <is>
          <t>AVESTA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46239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46239</v>
      </c>
      <c r="F245" t="inlineStr">
        <is>
          <t>DALARNAS LÄN</t>
        </is>
      </c>
      <c r="G245" t="inlineStr">
        <is>
          <t>AVESTA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46239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11825-2026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46085</v>
      </c>
      <c r="E247" s="1" t="n">
        <v>46239</v>
      </c>
      <c r="F247" t="inlineStr">
        <is>
          <t>DALARNAS LÄN</t>
        </is>
      </c>
      <c r="G247" t="inlineStr">
        <is>
          <t>AVESTA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46124</v>
      </c>
      <c r="E248" s="1" t="n">
        <v>46239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46239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46239</v>
      </c>
      <c r="F250" t="inlineStr">
        <is>
          <t>DALARNAS LÄN</t>
        </is>
      </c>
      <c r="G250" t="inlineStr">
        <is>
          <t>AVESTA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31603-2026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46223</v>
      </c>
      <c r="E251" s="1" t="n">
        <v>46239</v>
      </c>
      <c r="F251" t="inlineStr">
        <is>
          <t>DALARNAS LÄN</t>
        </is>
      </c>
      <c r="G251" t="inlineStr">
        <is>
          <t>AVESTA</t>
        </is>
      </c>
      <c r="H251" t="inlineStr">
        <is>
          <t>Bergvik skog väst AB</t>
        </is>
      </c>
      <c r="I251" t="n">
        <v>21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45492</v>
      </c>
      <c r="E252" s="1" t="n">
        <v>46239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46239</v>
      </c>
      <c r="F253" t="inlineStr">
        <is>
          <t>DALARNAS LÄN</t>
        </is>
      </c>
      <c r="G253" t="inlineStr">
        <is>
          <t>AVESTA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26337-2026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46182</v>
      </c>
      <c r="E254" s="1" t="n">
        <v>46239</v>
      </c>
      <c r="F254" t="inlineStr">
        <is>
          <t>DALARNAS LÄN</t>
        </is>
      </c>
      <c r="G254" t="inlineStr">
        <is>
          <t>AVESTA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46239</v>
      </c>
      <c r="F255" t="inlineStr">
        <is>
          <t>DALARNAS LÄN</t>
        </is>
      </c>
      <c r="G255" t="inlineStr">
        <is>
          <t>AVESTA</t>
        </is>
      </c>
      <c r="H255" t="inlineStr">
        <is>
          <t>Bergvik skog väst AB</t>
        </is>
      </c>
      <c r="I255" t="n">
        <v>12.1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46239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46239</v>
      </c>
      <c r="F257" t="inlineStr">
        <is>
          <t>DALARNAS LÄN</t>
        </is>
      </c>
      <c r="G257" t="inlineStr">
        <is>
          <t>AVESTA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46239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46239</v>
      </c>
      <c r="F259" t="inlineStr">
        <is>
          <t>DALARNAS LÄN</t>
        </is>
      </c>
      <c r="G259" t="inlineStr">
        <is>
          <t>AVESTA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46239</v>
      </c>
      <c r="F260" t="inlineStr">
        <is>
          <t>DALARNAS LÄN</t>
        </is>
      </c>
      <c r="G260" t="inlineStr">
        <is>
          <t>AVESTA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46239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46239</v>
      </c>
      <c r="F262" t="inlineStr">
        <is>
          <t>DALARNAS LÄN</t>
        </is>
      </c>
      <c r="G262" t="inlineStr">
        <is>
          <t>AVESTA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46239</v>
      </c>
      <c r="F263" t="inlineStr">
        <is>
          <t>DALARNAS LÄN</t>
        </is>
      </c>
      <c r="G263" t="inlineStr">
        <is>
          <t>AVESTA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73377-2021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44551</v>
      </c>
      <c r="E264" s="1" t="n">
        <v>46239</v>
      </c>
      <c r="F264" t="inlineStr">
        <is>
          <t>DALARNAS LÄN</t>
        </is>
      </c>
      <c r="G264" t="inlineStr">
        <is>
          <t>AVESTA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45721</v>
      </c>
      <c r="E265" s="1" t="n">
        <v>46239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46239</v>
      </c>
      <c r="F266" t="inlineStr">
        <is>
          <t>DALARNAS LÄN</t>
        </is>
      </c>
      <c r="G266" t="inlineStr">
        <is>
          <t>AVESTA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45510</v>
      </c>
      <c r="E267" s="1" t="n">
        <v>46239</v>
      </c>
      <c r="F267" t="inlineStr">
        <is>
          <t>DALARNAS LÄN</t>
        </is>
      </c>
      <c r="G267" t="inlineStr">
        <is>
          <t>AVESTA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18112-2022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44684</v>
      </c>
      <c r="E268" s="1" t="n">
        <v>46239</v>
      </c>
      <c r="F268" t="inlineStr">
        <is>
          <t>DALARNAS LÄN</t>
        </is>
      </c>
      <c r="G268" t="inlineStr">
        <is>
          <t>AVESTA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45015</v>
      </c>
      <c r="E269" s="1" t="n">
        <v>46239</v>
      </c>
      <c r="F269" t="inlineStr">
        <is>
          <t>DALARNAS LÄN</t>
        </is>
      </c>
      <c r="G269" t="inlineStr">
        <is>
          <t>AVESTA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7626-2026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46062</v>
      </c>
      <c r="E270" s="1" t="n">
        <v>46239</v>
      </c>
      <c r="F270" t="inlineStr">
        <is>
          <t>DALARNAS LÄN</t>
        </is>
      </c>
      <c r="G270" t="inlineStr">
        <is>
          <t>AVESTA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44900</v>
      </c>
      <c r="E271" s="1" t="n">
        <v>46239</v>
      </c>
      <c r="F271" t="inlineStr">
        <is>
          <t>DALARNAS LÄN</t>
        </is>
      </c>
      <c r="G271" t="inlineStr">
        <is>
          <t>AVESTA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46239</v>
      </c>
      <c r="F272" t="inlineStr">
        <is>
          <t>DALARNAS LÄN</t>
        </is>
      </c>
      <c r="G272" t="inlineStr">
        <is>
          <t>AVESTA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46239</v>
      </c>
      <c r="F273" t="inlineStr">
        <is>
          <t>DALARNAS LÄN</t>
        </is>
      </c>
      <c r="G273" t="inlineStr">
        <is>
          <t>AVESTA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46239</v>
      </c>
      <c r="F274" t="inlineStr">
        <is>
          <t>DALARNAS LÄN</t>
        </is>
      </c>
      <c r="G274" t="inlineStr">
        <is>
          <t>AVESTA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28227-2026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46196</v>
      </c>
      <c r="E275" s="1" t="n">
        <v>46239</v>
      </c>
      <c r="F275" t="inlineStr">
        <is>
          <t>DALARNAS LÄN</t>
        </is>
      </c>
      <c r="G275" t="inlineStr">
        <is>
          <t>AVESTA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46239</v>
      </c>
      <c r="F276" t="inlineStr">
        <is>
          <t>DALARNAS LÄN</t>
        </is>
      </c>
      <c r="G276" t="inlineStr">
        <is>
          <t>AVESTA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45269</v>
      </c>
      <c r="E277" s="1" t="n">
        <v>46239</v>
      </c>
      <c r="F277" t="inlineStr">
        <is>
          <t>DALARNAS LÄN</t>
        </is>
      </c>
      <c r="G277" t="inlineStr">
        <is>
          <t>AVESTA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45505</v>
      </c>
      <c r="E278" s="1" t="n">
        <v>46239</v>
      </c>
      <c r="F278" t="inlineStr">
        <is>
          <t>DALARNAS LÄN</t>
        </is>
      </c>
      <c r="G278" t="inlineStr">
        <is>
          <t>AVESTA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46239</v>
      </c>
      <c r="F279" t="inlineStr">
        <is>
          <t>DALARNAS LÄN</t>
        </is>
      </c>
      <c r="G279" t="inlineStr">
        <is>
          <t>AVESTA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44963</v>
      </c>
      <c r="E280" s="1" t="n">
        <v>46239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46239</v>
      </c>
      <c r="F281" t="inlineStr">
        <is>
          <t>DALARNAS LÄN</t>
        </is>
      </c>
      <c r="G281" t="inlineStr">
        <is>
          <t>AVESTA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46239</v>
      </c>
      <c r="F282" t="inlineStr">
        <is>
          <t>DALARNAS LÄN</t>
        </is>
      </c>
      <c r="G282" t="inlineStr">
        <is>
          <t>AVESTA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46239</v>
      </c>
      <c r="F283" t="inlineStr">
        <is>
          <t>DALARNAS LÄN</t>
        </is>
      </c>
      <c r="G283" t="inlineStr">
        <is>
          <t>AVESTA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46239</v>
      </c>
      <c r="F284" t="inlineStr">
        <is>
          <t>DALARNAS LÄN</t>
        </is>
      </c>
      <c r="G284" t="inlineStr">
        <is>
          <t>AVESTA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46239</v>
      </c>
      <c r="F285" t="inlineStr">
        <is>
          <t>DALARNAS LÄN</t>
        </is>
      </c>
      <c r="G285" t="inlineStr">
        <is>
          <t>AVESTA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46239</v>
      </c>
      <c r="F286" t="inlineStr">
        <is>
          <t>DALARNAS LÄN</t>
        </is>
      </c>
      <c r="G286" t="inlineStr">
        <is>
          <t>AVESTA</t>
        </is>
      </c>
      <c r="I286" t="n">
        <v>8.5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46239</v>
      </c>
      <c r="F287" t="inlineStr">
        <is>
          <t>DALARNAS LÄN</t>
        </is>
      </c>
      <c r="G287" t="inlineStr">
        <is>
          <t>AVESTA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46239</v>
      </c>
      <c r="F288" t="inlineStr">
        <is>
          <t>DALARNAS LÄN</t>
        </is>
      </c>
      <c r="G288" t="inlineStr">
        <is>
          <t>AVESTA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45598</v>
      </c>
      <c r="E289" s="1" t="n">
        <v>46239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46239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46239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18679-2026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46128</v>
      </c>
      <c r="E292" s="1" t="n">
        <v>46239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46128</v>
      </c>
      <c r="E293" s="1" t="n">
        <v>46239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46239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46239</v>
      </c>
      <c r="F295" t="inlineStr">
        <is>
          <t>DALARNAS LÄN</t>
        </is>
      </c>
      <c r="G295" t="inlineStr">
        <is>
          <t>AVESTA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46239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46239</v>
      </c>
      <c r="F297" t="inlineStr">
        <is>
          <t>DALARNAS LÄN</t>
        </is>
      </c>
      <c r="G297" t="inlineStr">
        <is>
          <t>AVESTA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46239</v>
      </c>
      <c r="F298" t="inlineStr">
        <is>
          <t>DALARNAS LÄN</t>
        </is>
      </c>
      <c r="G298" t="inlineStr">
        <is>
          <t>AVESTA</t>
        </is>
      </c>
      <c r="H298" t="inlineStr">
        <is>
          <t>Bergvik skog väst AB</t>
        </is>
      </c>
      <c r="I298" t="n">
        <v>37.2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45499</v>
      </c>
      <c r="E299" s="1" t="n">
        <v>46239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46239</v>
      </c>
      <c r="F300" t="inlineStr">
        <is>
          <t>DALARNAS LÄN</t>
        </is>
      </c>
      <c r="G300" t="inlineStr">
        <is>
          <t>AVESTA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46239</v>
      </c>
      <c r="F301" t="inlineStr">
        <is>
          <t>DALARNAS LÄN</t>
        </is>
      </c>
      <c r="G301" t="inlineStr">
        <is>
          <t>AVESTA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23146-2025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45791</v>
      </c>
      <c r="E302" s="1" t="n">
        <v>46239</v>
      </c>
      <c r="F302" t="inlineStr">
        <is>
          <t>DALARNAS LÄN</t>
        </is>
      </c>
      <c r="G302" t="inlineStr">
        <is>
          <t>AVESTA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46239</v>
      </c>
      <c r="F303" t="inlineStr">
        <is>
          <t>DALARNAS LÄN</t>
        </is>
      </c>
      <c r="G303" t="inlineStr">
        <is>
          <t>AVESTA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46239</v>
      </c>
      <c r="F304" t="inlineStr">
        <is>
          <t>DALARNAS LÄN</t>
        </is>
      </c>
      <c r="G304" t="inlineStr">
        <is>
          <t>AVESTA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45866</v>
      </c>
      <c r="E305" s="1" t="n">
        <v>46239</v>
      </c>
      <c r="F305" t="inlineStr">
        <is>
          <t>DALARNAS LÄN</t>
        </is>
      </c>
      <c r="G305" t="inlineStr">
        <is>
          <t>AVESTA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46239</v>
      </c>
      <c r="F306" t="inlineStr">
        <is>
          <t>DALARNAS LÄN</t>
        </is>
      </c>
      <c r="G306" t="inlineStr">
        <is>
          <t>AVESTA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32113-2024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45511</v>
      </c>
      <c r="E307" s="1" t="n">
        <v>46239</v>
      </c>
      <c r="F307" t="inlineStr">
        <is>
          <t>DALARNAS LÄN</t>
        </is>
      </c>
      <c r="G307" t="inlineStr">
        <is>
          <t>AVESTA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46239</v>
      </c>
      <c r="F308" t="inlineStr">
        <is>
          <t>DALARNAS LÄN</t>
        </is>
      </c>
      <c r="G308" t="inlineStr">
        <is>
          <t>AVESTA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46239</v>
      </c>
      <c r="F309" t="inlineStr">
        <is>
          <t>DALARNAS LÄN</t>
        </is>
      </c>
      <c r="G309" t="inlineStr">
        <is>
          <t>AVESTA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44614</v>
      </c>
      <c r="E310" s="1" t="n">
        <v>46239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46239</v>
      </c>
      <c r="F311" t="inlineStr">
        <is>
          <t>DALARNAS LÄN</t>
        </is>
      </c>
      <c r="G311" t="inlineStr">
        <is>
          <t>AVESTA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29468-2022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44753</v>
      </c>
      <c r="E312" s="1" t="n">
        <v>46239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45231</v>
      </c>
      <c r="E313" s="1" t="n">
        <v>46239</v>
      </c>
      <c r="F313" t="inlineStr">
        <is>
          <t>DALARNAS LÄN</t>
        </is>
      </c>
      <c r="G313" t="inlineStr">
        <is>
          <t>AVESTA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46239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46239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45274</v>
      </c>
      <c r="E316" s="1" t="n">
        <v>46239</v>
      </c>
      <c r="F316" t="inlineStr">
        <is>
          <t>DALARNAS LÄN</t>
        </is>
      </c>
      <c r="G316" t="inlineStr">
        <is>
          <t>AVESTA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45162</v>
      </c>
      <c r="E317" s="1" t="n">
        <v>46239</v>
      </c>
      <c r="F317" t="inlineStr">
        <is>
          <t>DALARNAS LÄN</t>
        </is>
      </c>
      <c r="G317" t="inlineStr">
        <is>
          <t>AVESTA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46239</v>
      </c>
      <c r="F318" t="inlineStr">
        <is>
          <t>DALARNAS LÄN</t>
        </is>
      </c>
      <c r="G318" t="inlineStr">
        <is>
          <t>AVESTA</t>
        </is>
      </c>
      <c r="H318" t="inlineStr">
        <is>
          <t>Bergvik skog väst AB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45266</v>
      </c>
      <c r="E319" s="1" t="n">
        <v>46239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46239</v>
      </c>
      <c r="F320" t="inlineStr">
        <is>
          <t>DALARNAS LÄN</t>
        </is>
      </c>
      <c r="G320" t="inlineStr">
        <is>
          <t>AVESTA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44746</v>
      </c>
      <c r="E321" s="1" t="n">
        <v>46239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46239</v>
      </c>
      <c r="F322" t="inlineStr">
        <is>
          <t>DALARNAS LÄN</t>
        </is>
      </c>
      <c r="G322" t="inlineStr">
        <is>
          <t>AVESTA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843-2024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45373</v>
      </c>
      <c r="E323" s="1" t="n">
        <v>46239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396-2022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44585</v>
      </c>
      <c r="E324" s="1" t="n">
        <v>46239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197-2024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45315</v>
      </c>
      <c r="E325" s="1" t="n">
        <v>46239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öst AB</t>
        </is>
      </c>
      <c r="I325" t="n">
        <v>149.1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50-2024</t>
        </is>
      </c>
      <c r="B326" t="inlineStr">
        <is>
          <t>samrådsanmälan</t>
        </is>
      </c>
      <c r="C326" t="inlineStr">
        <is>
          <t>Skogsbilväg</t>
        </is>
      </c>
      <c r="D326" s="1" t="n">
        <v>45296</v>
      </c>
      <c r="E326" s="1" t="n">
        <v>46239</v>
      </c>
      <c r="F326" t="inlineStr">
        <is>
          <t>DALARNAS LÄN</t>
        </is>
      </c>
      <c r="G326" t="inlineStr">
        <is>
          <t>AVESTA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861-2024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46239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709-2025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45720</v>
      </c>
      <c r="E328" s="1" t="n">
        <v>46239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136.3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2297-2025</t>
        </is>
      </c>
      <c r="B329" t="inlineStr">
        <is>
          <t>samrådsanmälan</t>
        </is>
      </c>
      <c r="C329" t="inlineStr">
        <is>
          <t>Askåterföring</t>
        </is>
      </c>
      <c r="D329" s="1" t="n">
        <v>45880</v>
      </c>
      <c r="E329" s="1" t="n">
        <v>46239</v>
      </c>
      <c r="F329" t="inlineStr">
        <is>
          <t>DALARNAS LÄN</t>
        </is>
      </c>
      <c r="G329" t="inlineStr">
        <is>
          <t>AVESTA</t>
        </is>
      </c>
      <c r="I329" t="n">
        <v>98.7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595-2026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46085</v>
      </c>
      <c r="E330" s="1" t="n">
        <v>46239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28.9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2026-08-05T20:37:39Z</dcterms:created>
  <dcterms:modified xmlns:dcterms="http://purl.org/dc/terms/" xmlns:xsi="http://www.w3.org/2001/XMLSchema-instance" xsi:type="dcterms:W3CDTF">2026-08-05T20:37:39Z</dcterms:modified>
</cp:coreProperties>
</file>