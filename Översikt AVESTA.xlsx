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45340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45340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45340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45340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45340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45340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45340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45340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45340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45340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45340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45340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45340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45340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45340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45340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12997-2022</t>
        </is>
      </c>
      <c r="B18" s="1" t="n">
        <v>44643</v>
      </c>
      <c r="C18" s="1" t="n">
        <v>45340</v>
      </c>
      <c r="D18" t="inlineStr">
        <is>
          <t>DALARNAS LÄN</t>
        </is>
      </c>
      <c r="E18" t="inlineStr">
        <is>
          <t>AVESTA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HYPERLINK("https://klasma.github.io/Logging_2084/artfynd/A 12997-2022 artfynd.xlsx", "A 12997-2022")</f>
        <v/>
      </c>
      <c r="T18">
        <f>HYPERLINK("https://klasma.github.io/Logging_2084/kartor/A 12997-2022 karta.png", "A 12997-2022")</f>
        <v/>
      </c>
      <c r="V18">
        <f>HYPERLINK("https://klasma.github.io/Logging_2084/klagomål/A 12997-2022 FSC-klagomål.docx", "A 12997-2022")</f>
        <v/>
      </c>
      <c r="W18">
        <f>HYPERLINK("https://klasma.github.io/Logging_2084/klagomålsmail/A 12997-2022 FSC-klagomål mail.docx", "A 12997-2022")</f>
        <v/>
      </c>
      <c r="X18">
        <f>HYPERLINK("https://klasma.github.io/Logging_2084/tillsyn/A 12997-2022 tillsynsbegäran.docx", "A 12997-2022")</f>
        <v/>
      </c>
      <c r="Y18">
        <f>HYPERLINK("https://klasma.github.io/Logging_2084/tillsynsmail/A 12997-2022 tillsynsbegäran mail.docx", "A 12997-2022")</f>
        <v/>
      </c>
      <c r="Z18">
        <f>HYPERLINK("https://klasma.github.io/Logging_2084/fåglar/A 12997-2022 prioriterade fågelarter.docx", "A 12997-2022")</f>
        <v/>
      </c>
    </row>
    <row r="19" ht="15" customHeight="1">
      <c r="A19" t="inlineStr">
        <is>
          <t>A 41888-2023</t>
        </is>
      </c>
      <c r="B19" s="1" t="n">
        <v>45176</v>
      </c>
      <c r="C19" s="1" t="n">
        <v>45340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HYPERLINK("https://klasma.github.io/Logging_2084/artfynd/A 41888-2023 artfynd.xlsx", "A 41888-2023")</f>
        <v/>
      </c>
      <c r="T19">
        <f>HYPERLINK("https://klasma.github.io/Logging_2084/kartor/A 41888-2023 karta.png", "A 41888-2023")</f>
        <v/>
      </c>
      <c r="V19">
        <f>HYPERLINK("https://klasma.github.io/Logging_2084/klagomål/A 41888-2023 FSC-klagomål.docx", "A 41888-2023")</f>
        <v/>
      </c>
      <c r="W19">
        <f>HYPERLINK("https://klasma.github.io/Logging_2084/klagomålsmail/A 41888-2023 FSC-klagomål mail.docx", "A 41888-2023")</f>
        <v/>
      </c>
      <c r="X19">
        <f>HYPERLINK("https://klasma.github.io/Logging_2084/tillsyn/A 41888-2023 tillsynsbegäran.docx", "A 41888-2023")</f>
        <v/>
      </c>
      <c r="Y19">
        <f>HYPERLINK("https://klasma.github.io/Logging_2084/tillsynsmail/A 41888-2023 tillsynsbegäran mail.docx", "A 41888-2023")</f>
        <v/>
      </c>
    </row>
    <row r="20" ht="15" customHeight="1">
      <c r="A20" t="inlineStr">
        <is>
          <t>A 43454-2023</t>
        </is>
      </c>
      <c r="B20" s="1" t="n">
        <v>45184</v>
      </c>
      <c r="C20" s="1" t="n">
        <v>45340</v>
      </c>
      <c r="D20" t="inlineStr">
        <is>
          <t>DALARNAS LÄN</t>
        </is>
      </c>
      <c r="E20" t="inlineStr">
        <is>
          <t>AVESTA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43454-2023 artfynd.xlsx", "A 43454-2023")</f>
        <v/>
      </c>
      <c r="T20">
        <f>HYPERLINK("https://klasma.github.io/Logging_2084/kartor/A 43454-2023 karta.png", "A 43454-2023")</f>
        <v/>
      </c>
      <c r="V20">
        <f>HYPERLINK("https://klasma.github.io/Logging_2084/klagomål/A 43454-2023 FSC-klagomål.docx", "A 43454-2023")</f>
        <v/>
      </c>
      <c r="W20">
        <f>HYPERLINK("https://klasma.github.io/Logging_2084/klagomålsmail/A 43454-2023 FSC-klagomål mail.docx", "A 43454-2023")</f>
        <v/>
      </c>
      <c r="X20">
        <f>HYPERLINK("https://klasma.github.io/Logging_2084/tillsyn/A 43454-2023 tillsynsbegäran.docx", "A 43454-2023")</f>
        <v/>
      </c>
      <c r="Y20">
        <f>HYPERLINK("https://klasma.github.io/Logging_2084/tillsynsmail/A 43454-2023 tillsynsbegäran mail.docx", "A 43454-2023")</f>
        <v/>
      </c>
      <c r="Z20">
        <f>HYPERLINK("https://klasma.github.io/Logging_2084/fåglar/A 43454-2023 prioriterade fågelarter.docx", "A 43454-2023")</f>
        <v/>
      </c>
    </row>
    <row r="21" ht="15" customHeight="1">
      <c r="A21" t="inlineStr">
        <is>
          <t>A 43773-2023</t>
        </is>
      </c>
      <c r="B21" s="1" t="n">
        <v>45187</v>
      </c>
      <c r="C21" s="1" t="n">
        <v>45340</v>
      </c>
      <c r="D21" t="inlineStr">
        <is>
          <t>DALARNAS LÄN</t>
        </is>
      </c>
      <c r="E21" t="inlineStr">
        <is>
          <t>AVESTA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43773-2023 artfynd.xlsx", "A 43773-2023")</f>
        <v/>
      </c>
      <c r="T21">
        <f>HYPERLINK("https://klasma.github.io/Logging_2084/kartor/A 43773-2023 karta.png", "A 43773-2023")</f>
        <v/>
      </c>
      <c r="U21">
        <f>HYPERLINK("https://klasma.github.io/Logging_2084/knärot/A 43773-2023 karta knärot.png", "A 43773-2023")</f>
        <v/>
      </c>
      <c r="V21">
        <f>HYPERLINK("https://klasma.github.io/Logging_2084/klagomål/A 43773-2023 FSC-klagomål.docx", "A 43773-2023")</f>
        <v/>
      </c>
      <c r="W21">
        <f>HYPERLINK("https://klasma.github.io/Logging_2084/klagomålsmail/A 43773-2023 FSC-klagomål mail.docx", "A 43773-2023")</f>
        <v/>
      </c>
      <c r="X21">
        <f>HYPERLINK("https://klasma.github.io/Logging_2084/tillsyn/A 43773-2023 tillsynsbegäran.docx", "A 43773-2023")</f>
        <v/>
      </c>
      <c r="Y21">
        <f>HYPERLINK("https://klasma.github.io/Logging_2084/tillsynsmail/A 43773-2023 tillsynsbegäran mail.docx", "A 43773-2023")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45340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61850-2023</t>
        </is>
      </c>
      <c r="B23" s="1" t="n">
        <v>45266</v>
      </c>
      <c r="C23" s="1" t="n">
        <v>45340</v>
      </c>
      <c r="D23" t="inlineStr">
        <is>
          <t>DALARNAS LÄN</t>
        </is>
      </c>
      <c r="E23" t="inlineStr">
        <is>
          <t>AVESTA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61850-2023 artfynd.xlsx", "A 61850-2023")</f>
        <v/>
      </c>
      <c r="T23">
        <f>HYPERLINK("https://klasma.github.io/Logging_2084/kartor/A 61850-2023 karta.png", "A 61850-2023")</f>
        <v/>
      </c>
      <c r="U23">
        <f>HYPERLINK("https://klasma.github.io/Logging_2084/knärot/A 61850-2023 karta knärot.png", "A 61850-2023")</f>
        <v/>
      </c>
      <c r="V23">
        <f>HYPERLINK("https://klasma.github.io/Logging_2084/klagomål/A 61850-2023 FSC-klagomål.docx", "A 61850-2023")</f>
        <v/>
      </c>
      <c r="W23">
        <f>HYPERLINK("https://klasma.github.io/Logging_2084/klagomålsmail/A 61850-2023 FSC-klagomål mail.docx", "A 61850-2023")</f>
        <v/>
      </c>
      <c r="X23">
        <f>HYPERLINK("https://klasma.github.io/Logging_2084/tillsyn/A 61850-2023 tillsynsbegäran.docx", "A 61850-2023")</f>
        <v/>
      </c>
      <c r="Y23">
        <f>HYPERLINK("https://klasma.github.io/Logging_2084/tillsynsmail/A 61850-2023 tillsynsbegäran mail.docx", "A 61850-2023")</f>
        <v/>
      </c>
    </row>
    <row r="24" ht="15" customHeight="1">
      <c r="A24" t="inlineStr">
        <is>
          <t>A 5299-2024</t>
        </is>
      </c>
      <c r="B24" s="1" t="n">
        <v>45331</v>
      </c>
      <c r="C24" s="1" t="n">
        <v>45340</v>
      </c>
      <c r="D24" t="inlineStr">
        <is>
          <t>DALARNAS LÄN</t>
        </is>
      </c>
      <c r="E24" t="inlineStr">
        <is>
          <t>AVESTA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HYPERLINK("https://klasma.github.io/Logging_2084/artfynd/A 5299-2024 artfynd.xlsx", "A 5299-2024")</f>
        <v/>
      </c>
      <c r="T24">
        <f>HYPERLINK("https://klasma.github.io/Logging_2084/kartor/A 5299-2024 karta.png", "A 5299-2024")</f>
        <v/>
      </c>
      <c r="V24">
        <f>HYPERLINK("https://klasma.github.io/Logging_2084/klagomål/A 5299-2024 FSC-klagomål.docx", "A 5299-2024")</f>
        <v/>
      </c>
      <c r="W24">
        <f>HYPERLINK("https://klasma.github.io/Logging_2084/klagomålsmail/A 5299-2024 FSC-klagomål mail.docx", "A 5299-2024")</f>
        <v/>
      </c>
      <c r="X24">
        <f>HYPERLINK("https://klasma.github.io/Logging_2084/tillsyn/A 5299-2024 tillsynsbegäran.docx", "A 5299-2024")</f>
        <v/>
      </c>
      <c r="Y24">
        <f>HYPERLINK("https://klasma.github.io/Logging_2084/tillsynsmail/A 5299-2024 tillsynsbegäran mail.docx", "A 5299-2024")</f>
        <v/>
      </c>
    </row>
    <row r="25" ht="15" customHeight="1">
      <c r="A25" t="inlineStr">
        <is>
          <t>A 34258-2018</t>
        </is>
      </c>
      <c r="B25" s="1" t="n">
        <v>43318</v>
      </c>
      <c r="C25" s="1" t="n">
        <v>45340</v>
      </c>
      <c r="D25" t="inlineStr">
        <is>
          <t>DALARNAS LÄN</t>
        </is>
      </c>
      <c r="E25" t="inlineStr">
        <is>
          <t>AVESTA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44870-2018</t>
        </is>
      </c>
      <c r="B26" s="1" t="n">
        <v>43360</v>
      </c>
      <c r="C26" s="1" t="n">
        <v>45340</v>
      </c>
      <c r="D26" t="inlineStr">
        <is>
          <t>DALARNAS LÄN</t>
        </is>
      </c>
      <c r="E26" t="inlineStr">
        <is>
          <t>AVESTA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64878-2018</t>
        </is>
      </c>
      <c r="B27" s="1" t="n">
        <v>43431</v>
      </c>
      <c r="C27" s="1" t="n">
        <v>45340</v>
      </c>
      <c r="D27" t="inlineStr">
        <is>
          <t>DALARNAS LÄN</t>
        </is>
      </c>
      <c r="E27" t="inlineStr">
        <is>
          <t>AVESTA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65697-2018</t>
        </is>
      </c>
      <c r="B28" s="1" t="n">
        <v>43433</v>
      </c>
      <c r="C28" s="1" t="n">
        <v>45340</v>
      </c>
      <c r="D28" t="inlineStr">
        <is>
          <t>DALARNAS LÄN</t>
        </is>
      </c>
      <c r="E28" t="inlineStr">
        <is>
          <t>AVESTA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66380-2018</t>
        </is>
      </c>
      <c r="B29" s="1" t="n">
        <v>43436</v>
      </c>
      <c r="C29" s="1" t="n">
        <v>45340</v>
      </c>
      <c r="D29" t="inlineStr">
        <is>
          <t>DALARNAS LÄN</t>
        </is>
      </c>
      <c r="E29" t="inlineStr">
        <is>
          <t>AVESTA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69674-2018</t>
        </is>
      </c>
      <c r="B30" s="1" t="n">
        <v>43444</v>
      </c>
      <c r="C30" s="1" t="n">
        <v>45340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70466-2018</t>
        </is>
      </c>
      <c r="B31" s="1" t="n">
        <v>43447</v>
      </c>
      <c r="C31" s="1" t="n">
        <v>45340</v>
      </c>
      <c r="D31" t="inlineStr">
        <is>
          <t>DALARNAS LÄN</t>
        </is>
      </c>
      <c r="E31" t="inlineStr">
        <is>
          <t>AVESTA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71656-2018</t>
        </is>
      </c>
      <c r="B32" s="1" t="n">
        <v>43454</v>
      </c>
      <c r="C32" s="1" t="n">
        <v>45340</v>
      </c>
      <c r="D32" t="inlineStr">
        <is>
          <t>DALARNAS LÄN</t>
        </is>
      </c>
      <c r="E32" t="inlineStr">
        <is>
          <t>AVESTA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2370-2019</t>
        </is>
      </c>
      <c r="B33" s="1" t="n">
        <v>43468</v>
      </c>
      <c r="C33" s="1" t="n">
        <v>45340</v>
      </c>
      <c r="D33" t="inlineStr">
        <is>
          <t>DALARNAS LÄN</t>
        </is>
      </c>
      <c r="E33" t="inlineStr">
        <is>
          <t>AVESTA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1270-2019</t>
        </is>
      </c>
      <c r="B34" s="1" t="n">
        <v>43473</v>
      </c>
      <c r="C34" s="1" t="n">
        <v>45340</v>
      </c>
      <c r="D34" t="inlineStr">
        <is>
          <t>DALARNAS LÄN</t>
        </is>
      </c>
      <c r="E34" t="inlineStr">
        <is>
          <t>AVESTA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7604-2019</t>
        </is>
      </c>
      <c r="B35" s="1" t="n">
        <v>43499</v>
      </c>
      <c r="C35" s="1" t="n">
        <v>45340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9897-2019</t>
        </is>
      </c>
      <c r="B36" s="1" t="n">
        <v>43509</v>
      </c>
      <c r="C36" s="1" t="n">
        <v>45340</v>
      </c>
      <c r="D36" t="inlineStr">
        <is>
          <t>DALARNAS LÄN</t>
        </is>
      </c>
      <c r="E36" t="inlineStr">
        <is>
          <t>AVESTA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13083-2019</t>
        </is>
      </c>
      <c r="B37" s="1" t="n">
        <v>43528</v>
      </c>
      <c r="C37" s="1" t="n">
        <v>45340</v>
      </c>
      <c r="D37" t="inlineStr">
        <is>
          <t>DALARNAS LÄN</t>
        </is>
      </c>
      <c r="E37" t="inlineStr">
        <is>
          <t>AVESTA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16962-2019</t>
        </is>
      </c>
      <c r="B38" s="1" t="n">
        <v>43550</v>
      </c>
      <c r="C38" s="1" t="n">
        <v>45340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18152-2019</t>
        </is>
      </c>
      <c r="B39" s="1" t="n">
        <v>43558</v>
      </c>
      <c r="C39" s="1" t="n">
        <v>45340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45340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45340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45340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45340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45340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45340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45340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45340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45340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45340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45340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45340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35578-2019</t>
        </is>
      </c>
      <c r="B52" s="1" t="n">
        <v>43664</v>
      </c>
      <c r="C52" s="1" t="n">
        <v>45340</v>
      </c>
      <c r="D52" t="inlineStr">
        <is>
          <t>DALARNAS LÄN</t>
        </is>
      </c>
      <c r="E52" t="inlineStr">
        <is>
          <t>AVESTA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36010-2019</t>
        </is>
      </c>
      <c r="B53" s="1" t="n">
        <v>43668</v>
      </c>
      <c r="C53" s="1" t="n">
        <v>45340</v>
      </c>
      <c r="D53" t="inlineStr">
        <is>
          <t>DALARNAS LÄN</t>
        </is>
      </c>
      <c r="E53" t="inlineStr">
        <is>
          <t>AVESTA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36025-2019</t>
        </is>
      </c>
      <c r="B54" s="1" t="n">
        <v>43668</v>
      </c>
      <c r="C54" s="1" t="n">
        <v>45340</v>
      </c>
      <c r="D54" t="inlineStr">
        <is>
          <t>DALARNAS LÄN</t>
        </is>
      </c>
      <c r="E54" t="inlineStr">
        <is>
          <t>AVESTA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36823-2019</t>
        </is>
      </c>
      <c r="B55" s="1" t="n">
        <v>43674</v>
      </c>
      <c r="C55" s="1" t="n">
        <v>45340</v>
      </c>
      <c r="D55" t="inlineStr">
        <is>
          <t>DALARNAS LÄN</t>
        </is>
      </c>
      <c r="E55" t="inlineStr">
        <is>
          <t>AVESTA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36824-2019</t>
        </is>
      </c>
      <c r="B56" s="1" t="n">
        <v>43674</v>
      </c>
      <c r="C56" s="1" t="n">
        <v>45340</v>
      </c>
      <c r="D56" t="inlineStr">
        <is>
          <t>DALARNAS LÄN</t>
        </is>
      </c>
      <c r="E56" t="inlineStr">
        <is>
          <t>AVESTA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38526-2019</t>
        </is>
      </c>
      <c r="B57" s="1" t="n">
        <v>43685</v>
      </c>
      <c r="C57" s="1" t="n">
        <v>45340</v>
      </c>
      <c r="D57" t="inlineStr">
        <is>
          <t>DALARNAS LÄN</t>
        </is>
      </c>
      <c r="E57" t="inlineStr">
        <is>
          <t>AVESTA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40100-2019</t>
        </is>
      </c>
      <c r="B58" s="1" t="n">
        <v>43693</v>
      </c>
      <c r="C58" s="1" t="n">
        <v>45340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40066-2019</t>
        </is>
      </c>
      <c r="B59" s="1" t="n">
        <v>43693</v>
      </c>
      <c r="C59" s="1" t="n">
        <v>45340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40068-2019</t>
        </is>
      </c>
      <c r="B60" s="1" t="n">
        <v>43693</v>
      </c>
      <c r="C60" s="1" t="n">
        <v>45340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40088-2019</t>
        </is>
      </c>
      <c r="B61" s="1" t="n">
        <v>43693</v>
      </c>
      <c r="C61" s="1" t="n">
        <v>45340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40058-2019</t>
        </is>
      </c>
      <c r="B62" s="1" t="n">
        <v>43693</v>
      </c>
      <c r="C62" s="1" t="n">
        <v>45340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41062-2019</t>
        </is>
      </c>
      <c r="B63" s="1" t="n">
        <v>43698</v>
      </c>
      <c r="C63" s="1" t="n">
        <v>45340</v>
      </c>
      <c r="D63" t="inlineStr">
        <is>
          <t>DALARNAS LÄN</t>
        </is>
      </c>
      <c r="E63" t="inlineStr">
        <is>
          <t>AVESTA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41335-2019</t>
        </is>
      </c>
      <c r="B64" s="1" t="n">
        <v>43698</v>
      </c>
      <c r="C64" s="1" t="n">
        <v>45340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41066-2019</t>
        </is>
      </c>
      <c r="B65" s="1" t="n">
        <v>43698</v>
      </c>
      <c r="C65" s="1" t="n">
        <v>45340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43523-2019</t>
        </is>
      </c>
      <c r="B66" s="1" t="n">
        <v>43706</v>
      </c>
      <c r="C66" s="1" t="n">
        <v>45340</v>
      </c>
      <c r="D66" t="inlineStr">
        <is>
          <t>DALARNAS LÄN</t>
        </is>
      </c>
      <c r="E66" t="inlineStr">
        <is>
          <t>AVESTA</t>
        </is>
      </c>
      <c r="F66" t="inlineStr">
        <is>
          <t>Kyrkan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44663-2019</t>
        </is>
      </c>
      <c r="B67" s="1" t="n">
        <v>43712</v>
      </c>
      <c r="C67" s="1" t="n">
        <v>45340</v>
      </c>
      <c r="D67" t="inlineStr">
        <is>
          <t>DALARNAS LÄN</t>
        </is>
      </c>
      <c r="E67" t="inlineStr">
        <is>
          <t>AVESTA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45827-2019</t>
        </is>
      </c>
      <c r="B68" s="1" t="n">
        <v>43717</v>
      </c>
      <c r="C68" s="1" t="n">
        <v>45340</v>
      </c>
      <c r="D68" t="inlineStr">
        <is>
          <t>DALARNAS LÄN</t>
        </is>
      </c>
      <c r="E68" t="inlineStr">
        <is>
          <t>AVESTA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49272-2019</t>
        </is>
      </c>
      <c r="B69" s="1" t="n">
        <v>43731</v>
      </c>
      <c r="C69" s="1" t="n">
        <v>45340</v>
      </c>
      <c r="D69" t="inlineStr">
        <is>
          <t>DALARNAS LÄN</t>
        </is>
      </c>
      <c r="E69" t="inlineStr">
        <is>
          <t>AVESTA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49620-2019</t>
        </is>
      </c>
      <c r="B70" s="1" t="n">
        <v>43732</v>
      </c>
      <c r="C70" s="1" t="n">
        <v>45340</v>
      </c>
      <c r="D70" t="inlineStr">
        <is>
          <t>DALARNAS LÄN</t>
        </is>
      </c>
      <c r="E70" t="inlineStr">
        <is>
          <t>AVESTA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53459-2019</t>
        </is>
      </c>
      <c r="B71" s="1" t="n">
        <v>43748</v>
      </c>
      <c r="C71" s="1" t="n">
        <v>45340</v>
      </c>
      <c r="D71" t="inlineStr">
        <is>
          <t>DALARNAS LÄN</t>
        </is>
      </c>
      <c r="E71" t="inlineStr">
        <is>
          <t>AVESTA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53977-2019</t>
        </is>
      </c>
      <c r="B72" s="1" t="n">
        <v>43752</v>
      </c>
      <c r="C72" s="1" t="n">
        <v>45340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60217-2019</t>
        </is>
      </c>
      <c r="B73" s="1" t="n">
        <v>43780</v>
      </c>
      <c r="C73" s="1" t="n">
        <v>45340</v>
      </c>
      <c r="D73" t="inlineStr">
        <is>
          <t>DALARNAS LÄN</t>
        </is>
      </c>
      <c r="E73" t="inlineStr">
        <is>
          <t>AVESTA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60242-2019</t>
        </is>
      </c>
      <c r="B74" s="1" t="n">
        <v>43780</v>
      </c>
      <c r="C74" s="1" t="n">
        <v>45340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60201-2019</t>
        </is>
      </c>
      <c r="B75" s="1" t="n">
        <v>43780</v>
      </c>
      <c r="C75" s="1" t="n">
        <v>45340</v>
      </c>
      <c r="D75" t="inlineStr">
        <is>
          <t>DALARNAS LÄN</t>
        </is>
      </c>
      <c r="E75" t="inlineStr">
        <is>
          <t>AVESTA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60414-2019</t>
        </is>
      </c>
      <c r="B76" s="1" t="n">
        <v>43780</v>
      </c>
      <c r="C76" s="1" t="n">
        <v>45340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60280-2019</t>
        </is>
      </c>
      <c r="B77" s="1" t="n">
        <v>43780</v>
      </c>
      <c r="C77" s="1" t="n">
        <v>45340</v>
      </c>
      <c r="D77" t="inlineStr">
        <is>
          <t>DALARNAS LÄN</t>
        </is>
      </c>
      <c r="E77" t="inlineStr">
        <is>
          <t>AVESTA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60419-2019</t>
        </is>
      </c>
      <c r="B78" s="1" t="n">
        <v>43780</v>
      </c>
      <c r="C78" s="1" t="n">
        <v>45340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60304-2019</t>
        </is>
      </c>
      <c r="B79" s="1" t="n">
        <v>43780</v>
      </c>
      <c r="C79" s="1" t="n">
        <v>45340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62120-2019</t>
        </is>
      </c>
      <c r="B80" s="1" t="n">
        <v>43782</v>
      </c>
      <c r="C80" s="1" t="n">
        <v>45340</v>
      </c>
      <c r="D80" t="inlineStr">
        <is>
          <t>DALARNAS LÄN</t>
        </is>
      </c>
      <c r="E80" t="inlineStr">
        <is>
          <t>AVESTA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62818-2019</t>
        </is>
      </c>
      <c r="B81" s="1" t="n">
        <v>43790</v>
      </c>
      <c r="C81" s="1" t="n">
        <v>45340</v>
      </c>
      <c r="D81" t="inlineStr">
        <is>
          <t>DALARNAS LÄN</t>
        </is>
      </c>
      <c r="E81" t="inlineStr">
        <is>
          <t>AVESTA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65871-2019</t>
        </is>
      </c>
      <c r="B82" s="1" t="n">
        <v>43805</v>
      </c>
      <c r="C82" s="1" t="n">
        <v>45340</v>
      </c>
      <c r="D82" t="inlineStr">
        <is>
          <t>DALARNAS LÄN</t>
        </is>
      </c>
      <c r="E82" t="inlineStr">
        <is>
          <t>AVESTA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66721-2019</t>
        </is>
      </c>
      <c r="B83" s="1" t="n">
        <v>43810</v>
      </c>
      <c r="C83" s="1" t="n">
        <v>45340</v>
      </c>
      <c r="D83" t="inlineStr">
        <is>
          <t>DALARNAS LÄN</t>
        </is>
      </c>
      <c r="E83" t="inlineStr">
        <is>
          <t>AVESTA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2746-2020</t>
        </is>
      </c>
      <c r="B84" s="1" t="n">
        <v>43843</v>
      </c>
      <c r="C84" s="1" t="n">
        <v>45340</v>
      </c>
      <c r="D84" t="inlineStr">
        <is>
          <t>DALARNAS LÄN</t>
        </is>
      </c>
      <c r="E84" t="inlineStr">
        <is>
          <t>AVESTA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4632-2020</t>
        </is>
      </c>
      <c r="B85" s="1" t="n">
        <v>43858</v>
      </c>
      <c r="C85" s="1" t="n">
        <v>45340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10881-2020</t>
        </is>
      </c>
      <c r="B86" s="1" t="n">
        <v>43885</v>
      </c>
      <c r="C86" s="1" t="n">
        <v>45340</v>
      </c>
      <c r="D86" t="inlineStr">
        <is>
          <t>DALARNAS LÄN</t>
        </is>
      </c>
      <c r="E86" t="inlineStr">
        <is>
          <t>AVESTA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11310-2020</t>
        </is>
      </c>
      <c r="B87" s="1" t="n">
        <v>43886</v>
      </c>
      <c r="C87" s="1" t="n">
        <v>45340</v>
      </c>
      <c r="D87" t="inlineStr">
        <is>
          <t>DALARNAS LÄN</t>
        </is>
      </c>
      <c r="E87" t="inlineStr">
        <is>
          <t>AVESTA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11721-2020</t>
        </is>
      </c>
      <c r="B88" s="1" t="n">
        <v>43894</v>
      </c>
      <c r="C88" s="1" t="n">
        <v>45340</v>
      </c>
      <c r="D88" t="inlineStr">
        <is>
          <t>DALARNAS LÄN</t>
        </is>
      </c>
      <c r="E88" t="inlineStr">
        <is>
          <t>AVESTA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11780-2020</t>
        </is>
      </c>
      <c r="B89" s="1" t="n">
        <v>43894</v>
      </c>
      <c r="C89" s="1" t="n">
        <v>45340</v>
      </c>
      <c r="D89" t="inlineStr">
        <is>
          <t>DALARNAS LÄN</t>
        </is>
      </c>
      <c r="E89" t="inlineStr">
        <is>
          <t>AVESTA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13840-2020</t>
        </is>
      </c>
      <c r="B90" s="1" t="n">
        <v>43906</v>
      </c>
      <c r="C90" s="1" t="n">
        <v>45340</v>
      </c>
      <c r="D90" t="inlineStr">
        <is>
          <t>DALARNAS LÄN</t>
        </is>
      </c>
      <c r="E90" t="inlineStr">
        <is>
          <t>AVESTA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17268-2020</t>
        </is>
      </c>
      <c r="B91" s="1" t="n">
        <v>43922</v>
      </c>
      <c r="C91" s="1" t="n">
        <v>45340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18541-2020</t>
        </is>
      </c>
      <c r="B92" s="1" t="n">
        <v>43929</v>
      </c>
      <c r="C92" s="1" t="n">
        <v>45340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18686-2020</t>
        </is>
      </c>
      <c r="B93" s="1" t="n">
        <v>43930</v>
      </c>
      <c r="C93" s="1" t="n">
        <v>45340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20955-2020</t>
        </is>
      </c>
      <c r="B94" s="1" t="n">
        <v>43950</v>
      </c>
      <c r="C94" s="1" t="n">
        <v>45340</v>
      </c>
      <c r="D94" t="inlineStr">
        <is>
          <t>DALARNAS LÄN</t>
        </is>
      </c>
      <c r="E94" t="inlineStr">
        <is>
          <t>AVESTA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21454-2020</t>
        </is>
      </c>
      <c r="B95" s="1" t="n">
        <v>43956</v>
      </c>
      <c r="C95" s="1" t="n">
        <v>45340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21455-2020</t>
        </is>
      </c>
      <c r="B96" s="1" t="n">
        <v>43956</v>
      </c>
      <c r="C96" s="1" t="n">
        <v>45340</v>
      </c>
      <c r="D96" t="inlineStr">
        <is>
          <t>DALARNAS LÄN</t>
        </is>
      </c>
      <c r="E96" t="inlineStr">
        <is>
          <t>AVESTA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21654-2020</t>
        </is>
      </c>
      <c r="B97" s="1" t="n">
        <v>43957</v>
      </c>
      <c r="C97" s="1" t="n">
        <v>45340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24087-2020</t>
        </is>
      </c>
      <c r="B98" s="1" t="n">
        <v>43972</v>
      </c>
      <c r="C98" s="1" t="n">
        <v>45340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24273-2020</t>
        </is>
      </c>
      <c r="B99" s="1" t="n">
        <v>43976</v>
      </c>
      <c r="C99" s="1" t="n">
        <v>45340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24556-2020</t>
        </is>
      </c>
      <c r="B100" s="1" t="n">
        <v>43977</v>
      </c>
      <c r="C100" s="1" t="n">
        <v>45340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24697-2020</t>
        </is>
      </c>
      <c r="B101" s="1" t="n">
        <v>43978</v>
      </c>
      <c r="C101" s="1" t="n">
        <v>45340</v>
      </c>
      <c r="D101" t="inlineStr">
        <is>
          <t>DALARNAS LÄN</t>
        </is>
      </c>
      <c r="E101" t="inlineStr">
        <is>
          <t>AVESTA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25134-2020</t>
        </is>
      </c>
      <c r="B102" s="1" t="n">
        <v>43980</v>
      </c>
      <c r="C102" s="1" t="n">
        <v>45340</v>
      </c>
      <c r="D102" t="inlineStr">
        <is>
          <t>DALARNAS LÄN</t>
        </is>
      </c>
      <c r="E102" t="inlineStr">
        <is>
          <t>AVESTA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26444-2020</t>
        </is>
      </c>
      <c r="B103" s="1" t="n">
        <v>43987</v>
      </c>
      <c r="C103" s="1" t="n">
        <v>45340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26443-2020</t>
        </is>
      </c>
      <c r="B104" s="1" t="n">
        <v>43987</v>
      </c>
      <c r="C104" s="1" t="n">
        <v>45340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28661-2020</t>
        </is>
      </c>
      <c r="B105" s="1" t="n">
        <v>43998</v>
      </c>
      <c r="C105" s="1" t="n">
        <v>45340</v>
      </c>
      <c r="D105" t="inlineStr">
        <is>
          <t>DALARNAS LÄN</t>
        </is>
      </c>
      <c r="E105" t="inlineStr">
        <is>
          <t>AVESTA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33495-2020</t>
        </is>
      </c>
      <c r="B106" s="1" t="n">
        <v>44025</v>
      </c>
      <c r="C106" s="1" t="n">
        <v>45340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35075-2020</t>
        </is>
      </c>
      <c r="B107" s="1" t="n">
        <v>44039</v>
      </c>
      <c r="C107" s="1" t="n">
        <v>45340</v>
      </c>
      <c r="D107" t="inlineStr">
        <is>
          <t>DALARNAS LÄN</t>
        </is>
      </c>
      <c r="E107" t="inlineStr">
        <is>
          <t>AVESTA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36027-2020</t>
        </is>
      </c>
      <c r="B108" s="1" t="n">
        <v>44047</v>
      </c>
      <c r="C108" s="1" t="n">
        <v>45340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36201-2020</t>
        </is>
      </c>
      <c r="B109" s="1" t="n">
        <v>44048</v>
      </c>
      <c r="C109" s="1" t="n">
        <v>45340</v>
      </c>
      <c r="D109" t="inlineStr">
        <is>
          <t>DALARNAS LÄN</t>
        </is>
      </c>
      <c r="E109" t="inlineStr">
        <is>
          <t>AVESTA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36948-2020</t>
        </is>
      </c>
      <c r="B110" s="1" t="n">
        <v>44053</v>
      </c>
      <c r="C110" s="1" t="n">
        <v>45340</v>
      </c>
      <c r="D110" t="inlineStr">
        <is>
          <t>DALARNAS LÄN</t>
        </is>
      </c>
      <c r="E110" t="inlineStr">
        <is>
          <t>AVESTA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38121-2020</t>
        </is>
      </c>
      <c r="B111" s="1" t="n">
        <v>44059</v>
      </c>
      <c r="C111" s="1" t="n">
        <v>45340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39495-2020</t>
        </is>
      </c>
      <c r="B112" s="1" t="n">
        <v>44064</v>
      </c>
      <c r="C112" s="1" t="n">
        <v>45340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42029-2020</t>
        </is>
      </c>
      <c r="B113" s="1" t="n">
        <v>44075</v>
      </c>
      <c r="C113" s="1" t="n">
        <v>45340</v>
      </c>
      <c r="D113" t="inlineStr">
        <is>
          <t>DALARNAS LÄN</t>
        </is>
      </c>
      <c r="E113" t="inlineStr">
        <is>
          <t>AVESTA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43056-2020</t>
        </is>
      </c>
      <c r="B114" s="1" t="n">
        <v>44078</v>
      </c>
      <c r="C114" s="1" t="n">
        <v>45340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43799-2020</t>
        </is>
      </c>
      <c r="B115" s="1" t="n">
        <v>44082</v>
      </c>
      <c r="C115" s="1" t="n">
        <v>45340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43488-2020</t>
        </is>
      </c>
      <c r="B116" s="1" t="n">
        <v>44082</v>
      </c>
      <c r="C116" s="1" t="n">
        <v>45340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HYPERLINK("https://klasma.github.io/Logging_2084/knärot/A 43488-2020 karta knärot.png", "A 43488-2020")</f>
        <v/>
      </c>
      <c r="V116">
        <f>HYPERLINK("https://klasma.github.io/Logging_2084/klagomål/A 43488-2020 FSC-klagomål.docx", "A 43488-2020")</f>
        <v/>
      </c>
      <c r="W116">
        <f>HYPERLINK("https://klasma.github.io/Logging_2084/klagomålsmail/A 43488-2020 FSC-klagomål mail.docx", "A 43488-2020")</f>
        <v/>
      </c>
      <c r="X116">
        <f>HYPERLINK("https://klasma.github.io/Logging_2084/tillsyn/A 43488-2020 tillsynsbegäran.docx", "A 43488-2020")</f>
        <v/>
      </c>
      <c r="Y116">
        <f>HYPERLINK("https://klasma.github.io/Logging_2084/tillsynsmail/A 43488-2020 tillsynsbegäran mail.docx", "A 43488-2020")</f>
        <v/>
      </c>
    </row>
    <row r="117" ht="15" customHeight="1">
      <c r="A117" t="inlineStr">
        <is>
          <t>A 44240-2020</t>
        </is>
      </c>
      <c r="B117" s="1" t="n">
        <v>44084</v>
      </c>
      <c r="C117" s="1" t="n">
        <v>45340</v>
      </c>
      <c r="D117" t="inlineStr">
        <is>
          <t>DALARNAS LÄN</t>
        </is>
      </c>
      <c r="E117" t="inlineStr">
        <is>
          <t>AVESTA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44310-2020</t>
        </is>
      </c>
      <c r="B118" s="1" t="n">
        <v>44084</v>
      </c>
      <c r="C118" s="1" t="n">
        <v>45340</v>
      </c>
      <c r="D118" t="inlineStr">
        <is>
          <t>DALARNAS LÄN</t>
        </is>
      </c>
      <c r="E118" t="inlineStr">
        <is>
          <t>AVESTA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45205-2020</t>
        </is>
      </c>
      <c r="B119" s="1" t="n">
        <v>44088</v>
      </c>
      <c r="C119" s="1" t="n">
        <v>45340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47287-2020</t>
        </is>
      </c>
      <c r="B120" s="1" t="n">
        <v>44097</v>
      </c>
      <c r="C120" s="1" t="n">
        <v>45340</v>
      </c>
      <c r="D120" t="inlineStr">
        <is>
          <t>DALARNAS LÄN</t>
        </is>
      </c>
      <c r="E120" t="inlineStr">
        <is>
          <t>AVESTA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52312-2020</t>
        </is>
      </c>
      <c r="B121" s="1" t="n">
        <v>44117</v>
      </c>
      <c r="C121" s="1" t="n">
        <v>45340</v>
      </c>
      <c r="D121" t="inlineStr">
        <is>
          <t>DALARNAS LÄN</t>
        </is>
      </c>
      <c r="E121" t="inlineStr">
        <is>
          <t>AVESTA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52313-2020</t>
        </is>
      </c>
      <c r="B122" s="1" t="n">
        <v>44117</v>
      </c>
      <c r="C122" s="1" t="n">
        <v>45340</v>
      </c>
      <c r="D122" t="inlineStr">
        <is>
          <t>DALARNAS LÄN</t>
        </is>
      </c>
      <c r="E122" t="inlineStr">
        <is>
          <t>AVESTA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52373-2020</t>
        </is>
      </c>
      <c r="B123" s="1" t="n">
        <v>44118</v>
      </c>
      <c r="C123" s="1" t="n">
        <v>45340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52888-2020</t>
        </is>
      </c>
      <c r="B124" s="1" t="n">
        <v>44119</v>
      </c>
      <c r="C124" s="1" t="n">
        <v>45340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52887-2020</t>
        </is>
      </c>
      <c r="B125" s="1" t="n">
        <v>44119</v>
      </c>
      <c r="C125" s="1" t="n">
        <v>45340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59199-2020</t>
        </is>
      </c>
      <c r="B126" s="1" t="n">
        <v>44147</v>
      </c>
      <c r="C126" s="1" t="n">
        <v>45340</v>
      </c>
      <c r="D126" t="inlineStr">
        <is>
          <t>DALARNAS LÄN</t>
        </is>
      </c>
      <c r="E126" t="inlineStr">
        <is>
          <t>AVESTA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62147-2020</t>
        </is>
      </c>
      <c r="B127" s="1" t="n">
        <v>44159</v>
      </c>
      <c r="C127" s="1" t="n">
        <v>45340</v>
      </c>
      <c r="D127" t="inlineStr">
        <is>
          <t>DALARNAS LÄN</t>
        </is>
      </c>
      <c r="E127" t="inlineStr">
        <is>
          <t>AVESTA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63104-2020</t>
        </is>
      </c>
      <c r="B128" s="1" t="n">
        <v>44159</v>
      </c>
      <c r="C128" s="1" t="n">
        <v>45340</v>
      </c>
      <c r="D128" t="inlineStr">
        <is>
          <t>DALARNAS LÄN</t>
        </is>
      </c>
      <c r="E128" t="inlineStr">
        <is>
          <t>AVESTA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1864-2021</t>
        </is>
      </c>
      <c r="B129" s="1" t="n">
        <v>44210</v>
      </c>
      <c r="C129" s="1" t="n">
        <v>45340</v>
      </c>
      <c r="D129" t="inlineStr">
        <is>
          <t>DALARNAS LÄN</t>
        </is>
      </c>
      <c r="E129" t="inlineStr">
        <is>
          <t>AVESTA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2466-2021</t>
        </is>
      </c>
      <c r="B130" s="1" t="n">
        <v>44214</v>
      </c>
      <c r="C130" s="1" t="n">
        <v>45340</v>
      </c>
      <c r="D130" t="inlineStr">
        <is>
          <t>DALARNAS LÄN</t>
        </is>
      </c>
      <c r="E130" t="inlineStr">
        <is>
          <t>AVESTA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4275-2021</t>
        </is>
      </c>
      <c r="B131" s="1" t="n">
        <v>44223</v>
      </c>
      <c r="C131" s="1" t="n">
        <v>45340</v>
      </c>
      <c r="D131" t="inlineStr">
        <is>
          <t>DALARNAS LÄN</t>
        </is>
      </c>
      <c r="E131" t="inlineStr">
        <is>
          <t>AVESTA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5704-2021</t>
        </is>
      </c>
      <c r="B132" s="1" t="n">
        <v>44230</v>
      </c>
      <c r="C132" s="1" t="n">
        <v>45340</v>
      </c>
      <c r="D132" t="inlineStr">
        <is>
          <t>DALARNAS LÄN</t>
        </is>
      </c>
      <c r="E132" t="inlineStr">
        <is>
          <t>AVESTA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5769-2021</t>
        </is>
      </c>
      <c r="B133" s="1" t="n">
        <v>44230</v>
      </c>
      <c r="C133" s="1" t="n">
        <v>45340</v>
      </c>
      <c r="D133" t="inlineStr">
        <is>
          <t>DALARNAS LÄN</t>
        </is>
      </c>
      <c r="E133" t="inlineStr">
        <is>
          <t>AVESTA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6257-2021</t>
        </is>
      </c>
      <c r="B134" s="1" t="n">
        <v>44232</v>
      </c>
      <c r="C134" s="1" t="n">
        <v>45340</v>
      </c>
      <c r="D134" t="inlineStr">
        <is>
          <t>DALARNAS LÄN</t>
        </is>
      </c>
      <c r="E134" t="inlineStr">
        <is>
          <t>AVESTA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13613-2021</t>
        </is>
      </c>
      <c r="B135" s="1" t="n">
        <v>44274</v>
      </c>
      <c r="C135" s="1" t="n">
        <v>45340</v>
      </c>
      <c r="D135" t="inlineStr">
        <is>
          <t>DALARNAS LÄN</t>
        </is>
      </c>
      <c r="E135" t="inlineStr">
        <is>
          <t>AVESTA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13867-2021</t>
        </is>
      </c>
      <c r="B136" s="1" t="n">
        <v>44277</v>
      </c>
      <c r="C136" s="1" t="n">
        <v>45340</v>
      </c>
      <c r="D136" t="inlineStr">
        <is>
          <t>DALARNAS LÄN</t>
        </is>
      </c>
      <c r="E136" t="inlineStr">
        <is>
          <t>AVESTA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14252-2021</t>
        </is>
      </c>
      <c r="B137" s="1" t="n">
        <v>44278</v>
      </c>
      <c r="C137" s="1" t="n">
        <v>45340</v>
      </c>
      <c r="D137" t="inlineStr">
        <is>
          <t>DALARNAS LÄN</t>
        </is>
      </c>
      <c r="E137" t="inlineStr">
        <is>
          <t>AVESTA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15087-2021</t>
        </is>
      </c>
      <c r="B138" s="1" t="n">
        <v>44281</v>
      </c>
      <c r="C138" s="1" t="n">
        <v>45340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15088-2021</t>
        </is>
      </c>
      <c r="B139" s="1" t="n">
        <v>44281</v>
      </c>
      <c r="C139" s="1" t="n">
        <v>45340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17316-2021</t>
        </is>
      </c>
      <c r="B140" s="1" t="n">
        <v>44298</v>
      </c>
      <c r="C140" s="1" t="n">
        <v>45340</v>
      </c>
      <c r="D140" t="inlineStr">
        <is>
          <t>DALARNAS LÄN</t>
        </is>
      </c>
      <c r="E140" t="inlineStr">
        <is>
          <t>AVESTA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18291-2021</t>
        </is>
      </c>
      <c r="B141" s="1" t="n">
        <v>44305</v>
      </c>
      <c r="C141" s="1" t="n">
        <v>45340</v>
      </c>
      <c r="D141" t="inlineStr">
        <is>
          <t>DALARNAS LÄN</t>
        </is>
      </c>
      <c r="E141" t="inlineStr">
        <is>
          <t>AVESTA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18896-2021</t>
        </is>
      </c>
      <c r="B142" s="1" t="n">
        <v>44308</v>
      </c>
      <c r="C142" s="1" t="n">
        <v>45340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19797-2021</t>
        </is>
      </c>
      <c r="B143" s="1" t="n">
        <v>44309</v>
      </c>
      <c r="C143" s="1" t="n">
        <v>45340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19867-2021</t>
        </is>
      </c>
      <c r="B144" s="1" t="n">
        <v>44313</v>
      </c>
      <c r="C144" s="1" t="n">
        <v>45340</v>
      </c>
      <c r="D144" t="inlineStr">
        <is>
          <t>DALARNAS LÄN</t>
        </is>
      </c>
      <c r="E144" t="inlineStr">
        <is>
          <t>AVESTA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23005-2021</t>
        </is>
      </c>
      <c r="B145" s="1" t="n">
        <v>44328</v>
      </c>
      <c r="C145" s="1" t="n">
        <v>45340</v>
      </c>
      <c r="D145" t="inlineStr">
        <is>
          <t>DALARNAS LÄN</t>
        </is>
      </c>
      <c r="E145" t="inlineStr">
        <is>
          <t>AVESTA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23347-2021</t>
        </is>
      </c>
      <c r="B146" s="1" t="n">
        <v>44333</v>
      </c>
      <c r="C146" s="1" t="n">
        <v>45340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26086-2021</t>
        </is>
      </c>
      <c r="B147" s="1" t="n">
        <v>44344</v>
      </c>
      <c r="C147" s="1" t="n">
        <v>45340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26085-2021</t>
        </is>
      </c>
      <c r="B148" s="1" t="n">
        <v>44344</v>
      </c>
      <c r="C148" s="1" t="n">
        <v>45340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27221-2021</t>
        </is>
      </c>
      <c r="B149" s="1" t="n">
        <v>44350</v>
      </c>
      <c r="C149" s="1" t="n">
        <v>45340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28521-2021</t>
        </is>
      </c>
      <c r="B150" s="1" t="n">
        <v>44356</v>
      </c>
      <c r="C150" s="1" t="n">
        <v>45340</v>
      </c>
      <c r="D150" t="inlineStr">
        <is>
          <t>DALARNAS LÄN</t>
        </is>
      </c>
      <c r="E150" t="inlineStr">
        <is>
          <t>AVESTA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28514-2021</t>
        </is>
      </c>
      <c r="B151" s="1" t="n">
        <v>44356</v>
      </c>
      <c r="C151" s="1" t="n">
        <v>45340</v>
      </c>
      <c r="D151" t="inlineStr">
        <is>
          <t>DALARNAS LÄN</t>
        </is>
      </c>
      <c r="E151" t="inlineStr">
        <is>
          <t>AVESTA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28762-2021</t>
        </is>
      </c>
      <c r="B152" s="1" t="n">
        <v>44357</v>
      </c>
      <c r="C152" s="1" t="n">
        <v>45340</v>
      </c>
      <c r="D152" t="inlineStr">
        <is>
          <t>DALARNAS LÄN</t>
        </is>
      </c>
      <c r="E152" t="inlineStr">
        <is>
          <t>AVESTA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31226-2021</t>
        </is>
      </c>
      <c r="B153" s="1" t="n">
        <v>44368</v>
      </c>
      <c r="C153" s="1" t="n">
        <v>45340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31126-2021</t>
        </is>
      </c>
      <c r="B154" s="1" t="n">
        <v>44368</v>
      </c>
      <c r="C154" s="1" t="n">
        <v>45340</v>
      </c>
      <c r="D154" t="inlineStr">
        <is>
          <t>DALARNAS LÄN</t>
        </is>
      </c>
      <c r="E154" t="inlineStr">
        <is>
          <t>AVESTA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32254-2021</t>
        </is>
      </c>
      <c r="B155" s="1" t="n">
        <v>44371</v>
      </c>
      <c r="C155" s="1" t="n">
        <v>45340</v>
      </c>
      <c r="D155" t="inlineStr">
        <is>
          <t>DALARNAS LÄN</t>
        </is>
      </c>
      <c r="E155" t="inlineStr">
        <is>
          <t>AVESTA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32258-2021</t>
        </is>
      </c>
      <c r="B156" s="1" t="n">
        <v>44371</v>
      </c>
      <c r="C156" s="1" t="n">
        <v>45340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32613-2021</t>
        </is>
      </c>
      <c r="B157" s="1" t="n">
        <v>44375</v>
      </c>
      <c r="C157" s="1" t="n">
        <v>45340</v>
      </c>
      <c r="D157" t="inlineStr">
        <is>
          <t>DALARNAS LÄN</t>
        </is>
      </c>
      <c r="E157" t="inlineStr">
        <is>
          <t>AVESTA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35855-2021</t>
        </is>
      </c>
      <c r="B158" s="1" t="n">
        <v>44386</v>
      </c>
      <c r="C158" s="1" t="n">
        <v>45340</v>
      </c>
      <c r="D158" t="inlineStr">
        <is>
          <t>DALARNAS LÄN</t>
        </is>
      </c>
      <c r="E158" t="inlineStr">
        <is>
          <t>AVESTA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39164-2021</t>
        </is>
      </c>
      <c r="B159" s="1" t="n">
        <v>44412</v>
      </c>
      <c r="C159" s="1" t="n">
        <v>45340</v>
      </c>
      <c r="D159" t="inlineStr">
        <is>
          <t>DALARNAS LÄN</t>
        </is>
      </c>
      <c r="E159" t="inlineStr">
        <is>
          <t>AVESTA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42326-2021</t>
        </is>
      </c>
      <c r="B160" s="1" t="n">
        <v>44427</v>
      </c>
      <c r="C160" s="1" t="n">
        <v>45340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42701-2021</t>
        </is>
      </c>
      <c r="B161" s="1" t="n">
        <v>44428</v>
      </c>
      <c r="C161" s="1" t="n">
        <v>45340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45340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45340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45340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45340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45340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45340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45340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45340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45340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45340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45340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45340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45340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45340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45340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45340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45340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45340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45340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45340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45340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45340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45340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45340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45340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45340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45340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45340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45340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45340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45340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45340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45340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45340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45340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45340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45340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45340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45340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45340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45340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45340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45340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45340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45340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45340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45340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45340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45340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45340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45340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45340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45340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45340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45340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45340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45340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45340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45340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45340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45340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45340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45340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45340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45340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45340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45340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45340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45340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45340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45340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45340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45340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45340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45340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45340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45340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45340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45340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45340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45340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45340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45340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45340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45340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45340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45340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45340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45340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45340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45340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45340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45340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45340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45340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45340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45340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45340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45340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45340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45340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45340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45340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45340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45340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45340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45340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45340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45340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45340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45340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45340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45340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45340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45340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45340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45340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45340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45340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45340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45340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45340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45340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45340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45340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45340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45340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45340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45340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45340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45340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45340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45340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45340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45340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45340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45340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45340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45340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45340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45340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45340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45340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45340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45340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45340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45340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45340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45340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45340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45340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45340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45340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45340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45340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45340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45340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45340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45340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45340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45340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45340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45340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45340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45340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45340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45340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45340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45340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45340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45340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45340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45340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45340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45340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45340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45340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45340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45340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45340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45340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45340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45340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45340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45340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45340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45340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45340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45340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45340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45340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45340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45340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45340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45340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45340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45340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45340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45340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45340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45340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45340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45340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45340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45340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45340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45340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45340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45340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45340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45340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45340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45340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45340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45340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45340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45340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45340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45340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45340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45340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45340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45340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45340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45340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45340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45340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45340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45340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45340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45340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45340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45340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45340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45340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45340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45340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45340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45340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45340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45340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45340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3194-2024</t>
        </is>
      </c>
      <c r="B404" s="1" t="n">
        <v>45316</v>
      </c>
      <c r="C404" s="1" t="n">
        <v>45340</v>
      </c>
      <c r="D404" t="inlineStr">
        <is>
          <t>DALARNAS LÄN</t>
        </is>
      </c>
      <c r="E404" t="inlineStr">
        <is>
          <t>AVESTA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3195-2024</t>
        </is>
      </c>
      <c r="B405" s="1" t="n">
        <v>45316</v>
      </c>
      <c r="C405" s="1" t="n">
        <v>45340</v>
      </c>
      <c r="D405" t="inlineStr">
        <is>
          <t>DALARNAS LÄN</t>
        </is>
      </c>
      <c r="E405" t="inlineStr">
        <is>
          <t>AVESTA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45340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45340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45340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45340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45340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45340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6314-2024</t>
        </is>
      </c>
      <c r="B412" s="1" t="n">
        <v>45338</v>
      </c>
      <c r="C412" s="1" t="n">
        <v>45340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2024-02-18T23:28:53Z</dcterms:created>
  <dcterms:modified xmlns:dcterms="http://purl.org/dc/terms/" xmlns:xsi="http://www.w3.org/2001/XMLSchema-instance" xsi:type="dcterms:W3CDTF">2024-02-18T23:28:54Z</dcterms:modified>
</cp:coreProperties>
</file>