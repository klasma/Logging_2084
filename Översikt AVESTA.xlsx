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45294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45294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45294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45294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45294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Bollvitmossa
Korallrot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</row>
    <row r="7" ht="15" customHeight="1">
      <c r="A7" t="inlineStr">
        <is>
          <t>A 49150-2021</t>
        </is>
      </c>
      <c r="B7" s="1" t="n">
        <v>44454</v>
      </c>
      <c r="C7" s="1" t="n">
        <v>45294</v>
      </c>
      <c r="D7" t="inlineStr">
        <is>
          <t>DALARNAS LÄN</t>
        </is>
      </c>
      <c r="E7" t="inlineStr">
        <is>
          <t>AVESTA</t>
        </is>
      </c>
      <c r="F7" t="inlineStr">
        <is>
          <t>Sveaskog</t>
        </is>
      </c>
      <c r="G7" t="n">
        <v>2.5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Ostticka
Gropticka
Revlummer</t>
        </is>
      </c>
      <c r="S7">
        <f>HYPERLINK("https://klasma.github.io/Logging_2084/artfynd/A 49150-2021 artfynd.xlsx", "A 49150-2021")</f>
        <v/>
      </c>
      <c r="T7">
        <f>HYPERLINK("https://klasma.github.io/Logging_2084/kartor/A 49150-2021 karta.png", "A 49150-2021")</f>
        <v/>
      </c>
      <c r="V7">
        <f>HYPERLINK("https://klasma.github.io/Logging_2084/klagomål/A 49150-2021 FSC-klagomål.docx", "A 49150-2021")</f>
        <v/>
      </c>
      <c r="W7">
        <f>HYPERLINK("https://klasma.github.io/Logging_2084/klagomålsmail/A 49150-2021 FSC-klagomål mail.docx", "A 49150-2021")</f>
        <v/>
      </c>
      <c r="X7">
        <f>HYPERLINK("https://klasma.github.io/Logging_2084/tillsyn/A 49150-2021 tillsynsbegäran.docx", "A 49150-2021")</f>
        <v/>
      </c>
      <c r="Y7">
        <f>HYPERLINK("https://klasma.github.io/Logging_2084/tillsynsmail/A 49150-2021 tillsynsbegäran mail.docx", "A 49150-2021")</f>
        <v/>
      </c>
    </row>
    <row r="8" ht="15" customHeight="1">
      <c r="A8" t="inlineStr">
        <is>
          <t>A 69304-2021</t>
        </is>
      </c>
      <c r="B8" s="1" t="n">
        <v>44531</v>
      </c>
      <c r="C8" s="1" t="n">
        <v>45294</v>
      </c>
      <c r="D8" t="inlineStr">
        <is>
          <t>DALARNAS LÄN</t>
        </is>
      </c>
      <c r="E8" t="inlineStr">
        <is>
          <t>AVESTA</t>
        </is>
      </c>
      <c r="G8" t="n">
        <v>8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Bronshjon
Vedticka</t>
        </is>
      </c>
      <c r="S8">
        <f>HYPERLINK("https://klasma.github.io/Logging_2084/artfynd/A 69304-2021 artfynd.xlsx", "A 69304-2021")</f>
        <v/>
      </c>
      <c r="T8">
        <f>HYPERLINK("https://klasma.github.io/Logging_2084/kartor/A 69304-2021 karta.png", "A 69304-2021")</f>
        <v/>
      </c>
      <c r="U8">
        <f>HYPERLINK("https://klasma.github.io/Logging_2084/knärot/A 69304-2021 karta knärot.png", "A 69304-2021")</f>
        <v/>
      </c>
      <c r="V8">
        <f>HYPERLINK("https://klasma.github.io/Logging_2084/klagomål/A 69304-2021 FSC-klagomål.docx", "A 69304-2021")</f>
        <v/>
      </c>
      <c r="W8">
        <f>HYPERLINK("https://klasma.github.io/Logging_2084/klagomålsmail/A 69304-2021 FSC-klagomål mail.docx", "A 69304-2021")</f>
        <v/>
      </c>
      <c r="X8">
        <f>HYPERLINK("https://klasma.github.io/Logging_2084/tillsyn/A 69304-2021 tillsynsbegäran.docx", "A 69304-2021")</f>
        <v/>
      </c>
      <c r="Y8">
        <f>HYPERLINK("https://klasma.github.io/Logging_2084/tillsynsmail/A 69304-2021 tillsynsbegäran mail.docx", "A 69304-2021")</f>
        <v/>
      </c>
    </row>
    <row r="9" ht="15" customHeight="1">
      <c r="A9" t="inlineStr">
        <is>
          <t>A 67066-2019</t>
        </is>
      </c>
      <c r="B9" s="1" t="n">
        <v>43805</v>
      </c>
      <c r="C9" s="1" t="n">
        <v>45294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HYPERLINK("https://klasma.github.io/Logging_2084/artfynd/A 67066-2019 artfynd.xlsx", "A 67066-2019")</f>
        <v/>
      </c>
      <c r="T9">
        <f>HYPERLINK("https://klasma.github.io/Logging_2084/kartor/A 67066-2019 karta.png", "A 67066-2019")</f>
        <v/>
      </c>
      <c r="V9">
        <f>HYPERLINK("https://klasma.github.io/Logging_2084/klagomål/A 67066-2019 FSC-klagomål.docx", "A 67066-2019")</f>
        <v/>
      </c>
      <c r="W9">
        <f>HYPERLINK("https://klasma.github.io/Logging_2084/klagomålsmail/A 67066-2019 FSC-klagomål mail.docx", "A 67066-2019")</f>
        <v/>
      </c>
      <c r="X9">
        <f>HYPERLINK("https://klasma.github.io/Logging_2084/tillsyn/A 67066-2019 tillsynsbegäran.docx", "A 67066-2019")</f>
        <v/>
      </c>
      <c r="Y9">
        <f>HYPERLINK("https://klasma.github.io/Logging_2084/tillsynsmail/A 67066-2019 tillsynsbegäran mail.docx", "A 67066-2019")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45294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</row>
    <row r="11" ht="15" customHeight="1">
      <c r="A11" t="inlineStr">
        <is>
          <t>A 31017-2022</t>
        </is>
      </c>
      <c r="B11" s="1" t="n">
        <v>44768</v>
      </c>
      <c r="C11" s="1" t="n">
        <v>45294</v>
      </c>
      <c r="D11" t="inlineStr">
        <is>
          <t>DALARNAS LÄN</t>
        </is>
      </c>
      <c r="E11" t="inlineStr">
        <is>
          <t>AVESTA</t>
        </is>
      </c>
      <c r="F11" t="inlineStr">
        <is>
          <t>Sveaskog</t>
        </is>
      </c>
      <c r="G11" t="n">
        <v>6.8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Mönjevaxskivling</t>
        </is>
      </c>
      <c r="S11">
        <f>HYPERLINK("https://klasma.github.io/Logging_2084/artfynd/A 31017-2022 artfynd.xlsx", "A 31017-2022")</f>
        <v/>
      </c>
      <c r="T11">
        <f>HYPERLINK("https://klasma.github.io/Logging_2084/kartor/A 31017-2022 karta.png", "A 31017-2022")</f>
        <v/>
      </c>
      <c r="V11">
        <f>HYPERLINK("https://klasma.github.io/Logging_2084/klagomål/A 31017-2022 FSC-klagomål.docx", "A 31017-2022")</f>
        <v/>
      </c>
      <c r="W11">
        <f>HYPERLINK("https://klasma.github.io/Logging_2084/klagomålsmail/A 31017-2022 FSC-klagomål mail.docx", "A 31017-2022")</f>
        <v/>
      </c>
      <c r="X11">
        <f>HYPERLINK("https://klasma.github.io/Logging_2084/tillsyn/A 31017-2022 tillsynsbegäran.docx", "A 31017-2022")</f>
        <v/>
      </c>
      <c r="Y11">
        <f>HYPERLINK("https://klasma.github.io/Logging_2084/tillsynsmail/A 31017-2022 tillsynsbegäran mail.docx", "A 31017-2022")</f>
        <v/>
      </c>
    </row>
    <row r="12" ht="15" customHeight="1">
      <c r="A12" t="inlineStr">
        <is>
          <t>A 31009-2023</t>
        </is>
      </c>
      <c r="B12" s="1" t="n">
        <v>45103</v>
      </c>
      <c r="C12" s="1" t="n">
        <v>45294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46.4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Jättesvampmal
Blåsippa</t>
        </is>
      </c>
      <c r="S12">
        <f>HYPERLINK("https://klasma.github.io/Logging_2084/artfynd/A 31009-2023 artfynd.xlsx", "A 31009-2023")</f>
        <v/>
      </c>
      <c r="T12">
        <f>HYPERLINK("https://klasma.github.io/Logging_2084/kartor/A 31009-2023 karta.png", "A 31009-2023")</f>
        <v/>
      </c>
      <c r="V12">
        <f>HYPERLINK("https://klasma.github.io/Logging_2084/klagomål/A 31009-2023 FSC-klagomål.docx", "A 31009-2023")</f>
        <v/>
      </c>
      <c r="W12">
        <f>HYPERLINK("https://klasma.github.io/Logging_2084/klagomålsmail/A 31009-2023 FSC-klagomål mail.docx", "A 31009-2023")</f>
        <v/>
      </c>
      <c r="X12">
        <f>HYPERLINK("https://klasma.github.io/Logging_2084/tillsyn/A 31009-2023 tillsynsbegäran.docx", "A 31009-2023")</f>
        <v/>
      </c>
      <c r="Y12">
        <f>HYPERLINK("https://klasma.github.io/Logging_2084/tillsynsmail/A 31009-2023 tillsynsbegäran mail.docx", "A 31009-2023")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45294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</row>
    <row r="14" ht="15" customHeight="1">
      <c r="A14" t="inlineStr">
        <is>
          <t>A 62102-2023</t>
        </is>
      </c>
      <c r="B14" s="1" t="n">
        <v>45266</v>
      </c>
      <c r="C14" s="1" t="n">
        <v>45294</v>
      </c>
      <c r="D14" t="inlineStr">
        <is>
          <t>DALARNAS LÄN</t>
        </is>
      </c>
      <c r="E14" t="inlineStr">
        <is>
          <t>AVESTA</t>
        </is>
      </c>
      <c r="G14" t="n">
        <v>3.6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HYPERLINK("https://klasma.github.io/Logging_2084/artfynd/A 62102-2023 artfynd.xlsx", "A 62102-2023")</f>
        <v/>
      </c>
      <c r="T14">
        <f>HYPERLINK("https://klasma.github.io/Logging_2084/kartor/A 62102-2023 karta.png", "A 62102-2023")</f>
        <v/>
      </c>
      <c r="V14">
        <f>HYPERLINK("https://klasma.github.io/Logging_2084/klagomål/A 62102-2023 FSC-klagomål.docx", "A 62102-2023")</f>
        <v/>
      </c>
      <c r="W14">
        <f>HYPERLINK("https://klasma.github.io/Logging_2084/klagomålsmail/A 62102-2023 FSC-klagomål mail.docx", "A 62102-2023")</f>
        <v/>
      </c>
      <c r="X14">
        <f>HYPERLINK("https://klasma.github.io/Logging_2084/tillsyn/A 62102-2023 tillsynsbegäran.docx", "A 62102-2023")</f>
        <v/>
      </c>
      <c r="Y14">
        <f>HYPERLINK("https://klasma.github.io/Logging_2084/tillsynsmail/A 62102-2023 tillsynsbegäran mail.docx", "A 62102-2023")</f>
        <v/>
      </c>
    </row>
    <row r="15" ht="15" customHeight="1">
      <c r="A15" t="inlineStr">
        <is>
          <t>A 4998-2020</t>
        </is>
      </c>
      <c r="B15" s="1" t="n">
        <v>43859</v>
      </c>
      <c r="C15" s="1" t="n">
        <v>45294</v>
      </c>
      <c r="D15" t="inlineStr">
        <is>
          <t>DALARNAS LÄN</t>
        </is>
      </c>
      <c r="E15" t="inlineStr">
        <is>
          <t>AVESTA</t>
        </is>
      </c>
      <c r="G15" t="n">
        <v>5.3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4998-2020 artfynd.xlsx", "A 4998-2020")</f>
        <v/>
      </c>
      <c r="T15">
        <f>HYPERLINK("https://klasma.github.io/Logging_2084/kartor/A 4998-2020 karta.png", "A 4998-2020")</f>
        <v/>
      </c>
      <c r="U15">
        <f>HYPERLINK("https://klasma.github.io/Logging_2084/knärot/A 4998-2020 karta knärot.png", "A 4998-2020")</f>
        <v/>
      </c>
      <c r="V15">
        <f>HYPERLINK("https://klasma.github.io/Logging_2084/klagomål/A 4998-2020 FSC-klagomål.docx", "A 4998-2020")</f>
        <v/>
      </c>
      <c r="W15">
        <f>HYPERLINK("https://klasma.github.io/Logging_2084/klagomålsmail/A 4998-2020 FSC-klagomål mail.docx", "A 4998-2020")</f>
        <v/>
      </c>
      <c r="X15">
        <f>HYPERLINK("https://klasma.github.io/Logging_2084/tillsyn/A 4998-2020 tillsynsbegäran.docx", "A 4998-2020")</f>
        <v/>
      </c>
      <c r="Y15">
        <f>HYPERLINK("https://klasma.github.io/Logging_2084/tillsynsmail/A 4998-2020 tillsynsbegäran mail.docx", "A 4998-2020")</f>
        <v/>
      </c>
    </row>
    <row r="16" ht="15" customHeight="1">
      <c r="A16" t="inlineStr">
        <is>
          <t>A 1695-2022</t>
        </is>
      </c>
      <c r="B16" s="1" t="n">
        <v>44574</v>
      </c>
      <c r="C16" s="1" t="n">
        <v>45294</v>
      </c>
      <c r="D16" t="inlineStr">
        <is>
          <t>DALARNAS LÄN</t>
        </is>
      </c>
      <c r="E16" t="inlineStr">
        <is>
          <t>AVESTA</t>
        </is>
      </c>
      <c r="G16" t="n">
        <v>6.5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1695-2022 artfynd.xlsx", "A 1695-2022")</f>
        <v/>
      </c>
      <c r="T16">
        <f>HYPERLINK("https://klasma.github.io/Logging_2084/kartor/A 1695-2022 karta.png", "A 1695-2022")</f>
        <v/>
      </c>
      <c r="U16">
        <f>HYPERLINK("https://klasma.github.io/Logging_2084/knärot/A 1695-2022 karta knärot.png", "A 1695-2022")</f>
        <v/>
      </c>
      <c r="V16">
        <f>HYPERLINK("https://klasma.github.io/Logging_2084/klagomål/A 1695-2022 FSC-klagomål.docx", "A 1695-2022")</f>
        <v/>
      </c>
      <c r="W16">
        <f>HYPERLINK("https://klasma.github.io/Logging_2084/klagomålsmail/A 1695-2022 FSC-klagomål mail.docx", "A 1695-2022")</f>
        <v/>
      </c>
      <c r="X16">
        <f>HYPERLINK("https://klasma.github.io/Logging_2084/tillsyn/A 1695-2022 tillsynsbegäran.docx", "A 1695-2022")</f>
        <v/>
      </c>
      <c r="Y16">
        <f>HYPERLINK("https://klasma.github.io/Logging_2084/tillsynsmail/A 1695-2022 tillsynsbegäran mail.docx", "A 1695-2022")</f>
        <v/>
      </c>
    </row>
    <row r="17" ht="15" customHeight="1">
      <c r="A17" t="inlineStr">
        <is>
          <t>A 12997-2022</t>
        </is>
      </c>
      <c r="B17" s="1" t="n">
        <v>44643</v>
      </c>
      <c r="C17" s="1" t="n">
        <v>45294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HYPERLINK("https://klasma.github.io/Logging_2084/artfynd/A 12997-2022 artfynd.xlsx", "A 12997-2022")</f>
        <v/>
      </c>
      <c r="T17">
        <f>HYPERLINK("https://klasma.github.io/Logging_2084/kartor/A 12997-2022 karta.png", "A 12997-2022")</f>
        <v/>
      </c>
      <c r="V17">
        <f>HYPERLINK("https://klasma.github.io/Logging_2084/klagomål/A 12997-2022 FSC-klagomål.docx", "A 12997-2022")</f>
        <v/>
      </c>
      <c r="W17">
        <f>HYPERLINK("https://klasma.github.io/Logging_2084/klagomålsmail/A 12997-2022 FSC-klagomål mail.docx", "A 12997-2022")</f>
        <v/>
      </c>
      <c r="X17">
        <f>HYPERLINK("https://klasma.github.io/Logging_2084/tillsyn/A 12997-2022 tillsynsbegäran.docx", "A 12997-2022")</f>
        <v/>
      </c>
      <c r="Y17">
        <f>HYPERLINK("https://klasma.github.io/Logging_2084/tillsynsmail/A 12997-2022 tillsynsbegäran mail.docx", "A 12997-2022")</f>
        <v/>
      </c>
    </row>
    <row r="18" ht="15" customHeight="1">
      <c r="A18" t="inlineStr">
        <is>
          <t>A 41888-2023</t>
        </is>
      </c>
      <c r="B18" s="1" t="n">
        <v>45176</v>
      </c>
      <c r="C18" s="1" t="n">
        <v>45294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41888-2023 artfynd.xlsx", "A 41888-2023")</f>
        <v/>
      </c>
      <c r="T18">
        <f>HYPERLINK("https://klasma.github.io/Logging_2084/kartor/A 41888-2023 karta.png", "A 41888-2023")</f>
        <v/>
      </c>
      <c r="V18">
        <f>HYPERLINK("https://klasma.github.io/Logging_2084/klagomål/A 41888-2023 FSC-klagomål.docx", "A 41888-2023")</f>
        <v/>
      </c>
      <c r="W18">
        <f>HYPERLINK("https://klasma.github.io/Logging_2084/klagomålsmail/A 41888-2023 FSC-klagomål mail.docx", "A 41888-2023")</f>
        <v/>
      </c>
      <c r="X18">
        <f>HYPERLINK("https://klasma.github.io/Logging_2084/tillsyn/A 41888-2023 tillsynsbegäran.docx", "A 41888-2023")</f>
        <v/>
      </c>
      <c r="Y18">
        <f>HYPERLINK("https://klasma.github.io/Logging_2084/tillsynsmail/A 41888-2023 tillsynsbegäran mail.docx", "A 41888-2023")</f>
        <v/>
      </c>
    </row>
    <row r="19" ht="15" customHeight="1">
      <c r="A19" t="inlineStr">
        <is>
          <t>A 43454-2023</t>
        </is>
      </c>
      <c r="B19" s="1" t="n">
        <v>45184</v>
      </c>
      <c r="C19" s="1" t="n">
        <v>45294</v>
      </c>
      <c r="D19" t="inlineStr">
        <is>
          <t>DALARNAS LÄN</t>
        </is>
      </c>
      <c r="E19" t="inlineStr">
        <is>
          <t>AVESTA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43454-2023 artfynd.xlsx", "A 43454-2023")</f>
        <v/>
      </c>
      <c r="T19">
        <f>HYPERLINK("https://klasma.github.io/Logging_2084/kartor/A 43454-2023 karta.png", "A 43454-2023")</f>
        <v/>
      </c>
      <c r="V19">
        <f>HYPERLINK("https://klasma.github.io/Logging_2084/klagomål/A 43454-2023 FSC-klagomål.docx", "A 43454-2023")</f>
        <v/>
      </c>
      <c r="W19">
        <f>HYPERLINK("https://klasma.github.io/Logging_2084/klagomålsmail/A 43454-2023 FSC-klagomål mail.docx", "A 43454-2023")</f>
        <v/>
      </c>
      <c r="X19">
        <f>HYPERLINK("https://klasma.github.io/Logging_2084/tillsyn/A 43454-2023 tillsynsbegäran.docx", "A 43454-2023")</f>
        <v/>
      </c>
      <c r="Y19">
        <f>HYPERLINK("https://klasma.github.io/Logging_2084/tillsynsmail/A 43454-2023 tillsynsbegäran mail.docx", "A 43454-2023")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45294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34258-2018</t>
        </is>
      </c>
      <c r="B21" s="1" t="n">
        <v>43318</v>
      </c>
      <c r="C21" s="1" t="n">
        <v>45294</v>
      </c>
      <c r="D21" t="inlineStr">
        <is>
          <t>DALARNAS LÄN</t>
        </is>
      </c>
      <c r="E21" t="inlineStr">
        <is>
          <t>AVESTA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44870-2018</t>
        </is>
      </c>
      <c r="B22" s="1" t="n">
        <v>43360</v>
      </c>
      <c r="C22" s="1" t="n">
        <v>45294</v>
      </c>
      <c r="D22" t="inlineStr">
        <is>
          <t>DALARNAS LÄN</t>
        </is>
      </c>
      <c r="E22" t="inlineStr">
        <is>
          <t>AVESTA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64878-2018</t>
        </is>
      </c>
      <c r="B23" s="1" t="n">
        <v>43431</v>
      </c>
      <c r="C23" s="1" t="n">
        <v>45294</v>
      </c>
      <c r="D23" t="inlineStr">
        <is>
          <t>DALARNAS LÄN</t>
        </is>
      </c>
      <c r="E23" t="inlineStr">
        <is>
          <t>AVESTA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65697-2018</t>
        </is>
      </c>
      <c r="B24" s="1" t="n">
        <v>43433</v>
      </c>
      <c r="C24" s="1" t="n">
        <v>45294</v>
      </c>
      <c r="D24" t="inlineStr">
        <is>
          <t>DALARNAS LÄN</t>
        </is>
      </c>
      <c r="E24" t="inlineStr">
        <is>
          <t>AVESTA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66380-2018</t>
        </is>
      </c>
      <c r="B25" s="1" t="n">
        <v>43436</v>
      </c>
      <c r="C25" s="1" t="n">
        <v>45294</v>
      </c>
      <c r="D25" t="inlineStr">
        <is>
          <t>DALARNAS LÄN</t>
        </is>
      </c>
      <c r="E25" t="inlineStr">
        <is>
          <t>AVESTA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69674-2018</t>
        </is>
      </c>
      <c r="B26" s="1" t="n">
        <v>43444</v>
      </c>
      <c r="C26" s="1" t="n">
        <v>45294</v>
      </c>
      <c r="D26" t="inlineStr">
        <is>
          <t>DALARNAS LÄN</t>
        </is>
      </c>
      <c r="E26" t="inlineStr">
        <is>
          <t>AVESTA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70466-2018</t>
        </is>
      </c>
      <c r="B27" s="1" t="n">
        <v>43447</v>
      </c>
      <c r="C27" s="1" t="n">
        <v>45294</v>
      </c>
      <c r="D27" t="inlineStr">
        <is>
          <t>DALARNAS LÄN</t>
        </is>
      </c>
      <c r="E27" t="inlineStr">
        <is>
          <t>AVESTA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71656-2018</t>
        </is>
      </c>
      <c r="B28" s="1" t="n">
        <v>43454</v>
      </c>
      <c r="C28" s="1" t="n">
        <v>45294</v>
      </c>
      <c r="D28" t="inlineStr">
        <is>
          <t>DALARNAS LÄN</t>
        </is>
      </c>
      <c r="E28" t="inlineStr">
        <is>
          <t>AVESTA</t>
        </is>
      </c>
      <c r="F28" t="inlineStr">
        <is>
          <t>Bergvik skog väst AB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2370-2019</t>
        </is>
      </c>
      <c r="B29" s="1" t="n">
        <v>43468</v>
      </c>
      <c r="C29" s="1" t="n">
        <v>45294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1270-2019</t>
        </is>
      </c>
      <c r="B30" s="1" t="n">
        <v>43473</v>
      </c>
      <c r="C30" s="1" t="n">
        <v>45294</v>
      </c>
      <c r="D30" t="inlineStr">
        <is>
          <t>DALARNAS LÄN</t>
        </is>
      </c>
      <c r="E30" t="inlineStr">
        <is>
          <t>AVESTA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7604-2019</t>
        </is>
      </c>
      <c r="B31" s="1" t="n">
        <v>43499</v>
      </c>
      <c r="C31" s="1" t="n">
        <v>45294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9897-2019</t>
        </is>
      </c>
      <c r="B32" s="1" t="n">
        <v>43509</v>
      </c>
      <c r="C32" s="1" t="n">
        <v>45294</v>
      </c>
      <c r="D32" t="inlineStr">
        <is>
          <t>DALARNAS LÄN</t>
        </is>
      </c>
      <c r="E32" t="inlineStr">
        <is>
          <t>AVESTA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13083-2019</t>
        </is>
      </c>
      <c r="B33" s="1" t="n">
        <v>43528</v>
      </c>
      <c r="C33" s="1" t="n">
        <v>45294</v>
      </c>
      <c r="D33" t="inlineStr">
        <is>
          <t>DALARNAS LÄN</t>
        </is>
      </c>
      <c r="E33" t="inlineStr">
        <is>
          <t>AVESTA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16962-2019</t>
        </is>
      </c>
      <c r="B34" s="1" t="n">
        <v>43550</v>
      </c>
      <c r="C34" s="1" t="n">
        <v>45294</v>
      </c>
      <c r="D34" t="inlineStr">
        <is>
          <t>DALARNAS LÄN</t>
        </is>
      </c>
      <c r="E34" t="inlineStr">
        <is>
          <t>AVESTA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18152-2019</t>
        </is>
      </c>
      <c r="B35" s="1" t="n">
        <v>43558</v>
      </c>
      <c r="C35" s="1" t="n">
        <v>45294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45294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45294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45294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45294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45294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45294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45294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45294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45294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45294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45294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45294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45294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45294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45294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45294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45294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45294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45294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45294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45294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45294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45294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45294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45294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45294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45294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45294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45294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45294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45294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45294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45294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45294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45294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45294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45294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45294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45294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45294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45294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45294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45294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45294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45294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45294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45294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45294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45294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45294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45294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45294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45294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45294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45294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45294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45294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45294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45294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45294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45294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45294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45294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45294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45294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45294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45294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45294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45294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45294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45294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45294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45294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45294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45294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45294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45294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44240-2020</t>
        </is>
      </c>
      <c r="B113" s="1" t="n">
        <v>44084</v>
      </c>
      <c r="C113" s="1" t="n">
        <v>45294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45294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45294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45294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45294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45294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45294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45294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45294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45294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45294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45294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45294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45294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45294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45294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45294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45294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45294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45294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45294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45294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45294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45294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45294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45294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45294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45294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45294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45294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45294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45294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45294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45294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45294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45294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45294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45294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45294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45294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45294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45294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45294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45294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42701-2021</t>
        </is>
      </c>
      <c r="B157" s="1" t="n">
        <v>44428</v>
      </c>
      <c r="C157" s="1" t="n">
        <v>45294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42704-2021</t>
        </is>
      </c>
      <c r="B158" s="1" t="n">
        <v>44428</v>
      </c>
      <c r="C158" s="1" t="n">
        <v>45294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42735-2021</t>
        </is>
      </c>
      <c r="B159" s="1" t="n">
        <v>44428</v>
      </c>
      <c r="C159" s="1" t="n">
        <v>45294</v>
      </c>
      <c r="D159" t="inlineStr">
        <is>
          <t>DALARNAS LÄN</t>
        </is>
      </c>
      <c r="E159" t="inlineStr">
        <is>
          <t>AVESTA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43767-2021</t>
        </is>
      </c>
      <c r="B160" s="1" t="n">
        <v>44433</v>
      </c>
      <c r="C160" s="1" t="n">
        <v>45294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44710-2021</t>
        </is>
      </c>
      <c r="B161" s="1" t="n">
        <v>44438</v>
      </c>
      <c r="C161" s="1" t="n">
        <v>45294</v>
      </c>
      <c r="D161" t="inlineStr">
        <is>
          <t>DALARNAS LÄN</t>
        </is>
      </c>
      <c r="E161" t="inlineStr">
        <is>
          <t>AVESTA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45604-2021</t>
        </is>
      </c>
      <c r="B162" s="1" t="n">
        <v>44440</v>
      </c>
      <c r="C162" s="1" t="n">
        <v>45294</v>
      </c>
      <c r="D162" t="inlineStr">
        <is>
          <t>DALARNAS LÄN</t>
        </is>
      </c>
      <c r="E162" t="inlineStr">
        <is>
          <t>AVESTA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45606-2021</t>
        </is>
      </c>
      <c r="B163" s="1" t="n">
        <v>44440</v>
      </c>
      <c r="C163" s="1" t="n">
        <v>45294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46175-2021</t>
        </is>
      </c>
      <c r="B164" s="1" t="n">
        <v>44442</v>
      </c>
      <c r="C164" s="1" t="n">
        <v>45294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46221-2021</t>
        </is>
      </c>
      <c r="B165" s="1" t="n">
        <v>44442</v>
      </c>
      <c r="C165" s="1" t="n">
        <v>45294</v>
      </c>
      <c r="D165" t="inlineStr">
        <is>
          <t>DALARNAS LÄN</t>
        </is>
      </c>
      <c r="E165" t="inlineStr">
        <is>
          <t>AVESTA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49392-2021</t>
        </is>
      </c>
      <c r="B166" s="1" t="n">
        <v>44454</v>
      </c>
      <c r="C166" s="1" t="n">
        <v>45294</v>
      </c>
      <c r="D166" t="inlineStr">
        <is>
          <t>DALARNAS LÄN</t>
        </is>
      </c>
      <c r="E166" t="inlineStr">
        <is>
          <t>AVESTA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50806-2021</t>
        </is>
      </c>
      <c r="B167" s="1" t="n">
        <v>44459</v>
      </c>
      <c r="C167" s="1" t="n">
        <v>45294</v>
      </c>
      <c r="D167" t="inlineStr">
        <is>
          <t>DALARNAS LÄN</t>
        </is>
      </c>
      <c r="E167" t="inlineStr">
        <is>
          <t>AVESTA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50863-2021</t>
        </is>
      </c>
      <c r="B168" s="1" t="n">
        <v>44460</v>
      </c>
      <c r="C168" s="1" t="n">
        <v>45294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50886-2021</t>
        </is>
      </c>
      <c r="B169" s="1" t="n">
        <v>44460</v>
      </c>
      <c r="C169" s="1" t="n">
        <v>45294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52818-2021</t>
        </is>
      </c>
      <c r="B170" s="1" t="n">
        <v>44467</v>
      </c>
      <c r="C170" s="1" t="n">
        <v>45294</v>
      </c>
      <c r="D170" t="inlineStr">
        <is>
          <t>DALARNAS LÄN</t>
        </is>
      </c>
      <c r="E170" t="inlineStr">
        <is>
          <t>AVESTA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56171-2021</t>
        </is>
      </c>
      <c r="B171" s="1" t="n">
        <v>44477</v>
      </c>
      <c r="C171" s="1" t="n">
        <v>45294</v>
      </c>
      <c r="D171" t="inlineStr">
        <is>
          <t>DALARNAS LÄN</t>
        </is>
      </c>
      <c r="E171" t="inlineStr">
        <is>
          <t>AVESTA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56428-2021</t>
        </is>
      </c>
      <c r="B172" s="1" t="n">
        <v>44480</v>
      </c>
      <c r="C172" s="1" t="n">
        <v>45294</v>
      </c>
      <c r="D172" t="inlineStr">
        <is>
          <t>DALARNAS LÄN</t>
        </is>
      </c>
      <c r="E172" t="inlineStr">
        <is>
          <t>AVESTA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56954-2021</t>
        </is>
      </c>
      <c r="B173" s="1" t="n">
        <v>44482</v>
      </c>
      <c r="C173" s="1" t="n">
        <v>45294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63519-2021</t>
        </is>
      </c>
      <c r="B174" s="1" t="n">
        <v>44508</v>
      </c>
      <c r="C174" s="1" t="n">
        <v>45294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64768-2021</t>
        </is>
      </c>
      <c r="B175" s="1" t="n">
        <v>44512</v>
      </c>
      <c r="C175" s="1" t="n">
        <v>45294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65738-2021</t>
        </is>
      </c>
      <c r="B176" s="1" t="n">
        <v>44516</v>
      </c>
      <c r="C176" s="1" t="n">
        <v>45294</v>
      </c>
      <c r="D176" t="inlineStr">
        <is>
          <t>DALARNAS LÄN</t>
        </is>
      </c>
      <c r="E176" t="inlineStr">
        <is>
          <t>AVESTA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73172-2021</t>
        </is>
      </c>
      <c r="B177" s="1" t="n">
        <v>44550</v>
      </c>
      <c r="C177" s="1" t="n">
        <v>45294</v>
      </c>
      <c r="D177" t="inlineStr">
        <is>
          <t>DALARNAS LÄN</t>
        </is>
      </c>
      <c r="E177" t="inlineStr">
        <is>
          <t>AVESTA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73377-2021</t>
        </is>
      </c>
      <c r="B178" s="1" t="n">
        <v>44551</v>
      </c>
      <c r="C178" s="1" t="n">
        <v>45294</v>
      </c>
      <c r="D178" t="inlineStr">
        <is>
          <t>DALARNAS LÄN</t>
        </is>
      </c>
      <c r="E178" t="inlineStr">
        <is>
          <t>AVESTA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863-2022</t>
        </is>
      </c>
      <c r="B179" s="1" t="n">
        <v>44571</v>
      </c>
      <c r="C179" s="1" t="n">
        <v>45294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1977-2022</t>
        </is>
      </c>
      <c r="B180" s="1" t="n">
        <v>44575</v>
      </c>
      <c r="C180" s="1" t="n">
        <v>45294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2808-2022</t>
        </is>
      </c>
      <c r="B181" s="1" t="n">
        <v>44581</v>
      </c>
      <c r="C181" s="1" t="n">
        <v>45294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2792-2022</t>
        </is>
      </c>
      <c r="B182" s="1" t="n">
        <v>44581</v>
      </c>
      <c r="C182" s="1" t="n">
        <v>45294</v>
      </c>
      <c r="D182" t="inlineStr">
        <is>
          <t>DALARNAS LÄN</t>
        </is>
      </c>
      <c r="E182" t="inlineStr">
        <is>
          <t>AVESTA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2800-2022</t>
        </is>
      </c>
      <c r="B183" s="1" t="n">
        <v>44581</v>
      </c>
      <c r="C183" s="1" t="n">
        <v>45294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3806-2022</t>
        </is>
      </c>
      <c r="B184" s="1" t="n">
        <v>44587</v>
      </c>
      <c r="C184" s="1" t="n">
        <v>45294</v>
      </c>
      <c r="D184" t="inlineStr">
        <is>
          <t>DALARNAS LÄN</t>
        </is>
      </c>
      <c r="E184" t="inlineStr">
        <is>
          <t>AVESTA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7814-2022</t>
        </is>
      </c>
      <c r="B185" s="1" t="n">
        <v>44608</v>
      </c>
      <c r="C185" s="1" t="n">
        <v>45294</v>
      </c>
      <c r="D185" t="inlineStr">
        <is>
          <t>DALARNAS LÄN</t>
        </is>
      </c>
      <c r="E185" t="inlineStr">
        <is>
          <t>AVESTA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8759-2022</t>
        </is>
      </c>
      <c r="B186" s="1" t="n">
        <v>44613</v>
      </c>
      <c r="C186" s="1" t="n">
        <v>45294</v>
      </c>
      <c r="D186" t="inlineStr">
        <is>
          <t>DALARNAS LÄN</t>
        </is>
      </c>
      <c r="E186" t="inlineStr">
        <is>
          <t>AVESTA</t>
        </is>
      </c>
      <c r="G186" t="n">
        <v>12.9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8785-2022</t>
        </is>
      </c>
      <c r="B187" s="1" t="n">
        <v>44614</v>
      </c>
      <c r="C187" s="1" t="n">
        <v>45294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9403-2022</t>
        </is>
      </c>
      <c r="B188" s="1" t="n">
        <v>44616</v>
      </c>
      <c r="C188" s="1" t="n">
        <v>45294</v>
      </c>
      <c r="D188" t="inlineStr">
        <is>
          <t>DALARNAS LÄN</t>
        </is>
      </c>
      <c r="E188" t="inlineStr">
        <is>
          <t>AVESTA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12994-2022</t>
        </is>
      </c>
      <c r="B189" s="1" t="n">
        <v>44643</v>
      </c>
      <c r="C189" s="1" t="n">
        <v>45294</v>
      </c>
      <c r="D189" t="inlineStr">
        <is>
          <t>DALARNAS LÄN</t>
        </is>
      </c>
      <c r="E189" t="inlineStr">
        <is>
          <t>AVESTA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13922-2022</t>
        </is>
      </c>
      <c r="B190" s="1" t="n">
        <v>44650</v>
      </c>
      <c r="C190" s="1" t="n">
        <v>45294</v>
      </c>
      <c r="D190" t="inlineStr">
        <is>
          <t>DALARNAS LÄN</t>
        </is>
      </c>
      <c r="E190" t="inlineStr">
        <is>
          <t>AVESTA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17640-2022</t>
        </is>
      </c>
      <c r="B191" s="1" t="n">
        <v>44680</v>
      </c>
      <c r="C191" s="1" t="n">
        <v>45294</v>
      </c>
      <c r="D191" t="inlineStr">
        <is>
          <t>DALARNAS LÄN</t>
        </is>
      </c>
      <c r="E191" t="inlineStr">
        <is>
          <t>AVESTA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18112-2022</t>
        </is>
      </c>
      <c r="B192" s="1" t="n">
        <v>44684</v>
      </c>
      <c r="C192" s="1" t="n">
        <v>45294</v>
      </c>
      <c r="D192" t="inlineStr">
        <is>
          <t>DALARNAS LÄN</t>
        </is>
      </c>
      <c r="E192" t="inlineStr">
        <is>
          <t>AVESTA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18679-2022</t>
        </is>
      </c>
      <c r="B193" s="1" t="n">
        <v>44687</v>
      </c>
      <c r="C193" s="1" t="n">
        <v>45294</v>
      </c>
      <c r="D193" t="inlineStr">
        <is>
          <t>DALARNAS LÄN</t>
        </is>
      </c>
      <c r="E193" t="inlineStr">
        <is>
          <t>AVESTA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23365-2022</t>
        </is>
      </c>
      <c r="B194" s="1" t="n">
        <v>44720</v>
      </c>
      <c r="C194" s="1" t="n">
        <v>45294</v>
      </c>
      <c r="D194" t="inlineStr">
        <is>
          <t>DALARNAS LÄN</t>
        </is>
      </c>
      <c r="E194" t="inlineStr">
        <is>
          <t>AVESTA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23976-2022</t>
        </is>
      </c>
      <c r="B195" s="1" t="n">
        <v>44722</v>
      </c>
      <c r="C195" s="1" t="n">
        <v>45294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25180-2022</t>
        </is>
      </c>
      <c r="B196" s="1" t="n">
        <v>44729</v>
      </c>
      <c r="C196" s="1" t="n">
        <v>45294</v>
      </c>
      <c r="D196" t="inlineStr">
        <is>
          <t>DALARNAS LÄN</t>
        </is>
      </c>
      <c r="E196" t="inlineStr">
        <is>
          <t>AVESTA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45294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45294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45294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45294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45294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45294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45294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45294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45294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45294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45294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45294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45294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45294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45294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45294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45294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45294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45294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45294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45294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45294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45294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45294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45294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45294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45294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45294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45294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45294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45294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45294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45294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45294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45294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45294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45294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45294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57312-2022</t>
        </is>
      </c>
      <c r="B235" s="1" t="n">
        <v>44896</v>
      </c>
      <c r="C235" s="1" t="n">
        <v>45294</v>
      </c>
      <c r="D235" t="inlineStr">
        <is>
          <t>DALARNAS LÄN</t>
        </is>
      </c>
      <c r="E235" t="inlineStr">
        <is>
          <t>AVESTA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58094-2022</t>
        </is>
      </c>
      <c r="B236" s="1" t="n">
        <v>44900</v>
      </c>
      <c r="C236" s="1" t="n">
        <v>45294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58526-2022</t>
        </is>
      </c>
      <c r="B237" s="1" t="n">
        <v>44902</v>
      </c>
      <c r="C237" s="1" t="n">
        <v>45294</v>
      </c>
      <c r="D237" t="inlineStr">
        <is>
          <t>DALARNAS LÄN</t>
        </is>
      </c>
      <c r="E237" t="inlineStr">
        <is>
          <t>AVESTA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59869-2022</t>
        </is>
      </c>
      <c r="B238" s="1" t="n">
        <v>44908</v>
      </c>
      <c r="C238" s="1" t="n">
        <v>45294</v>
      </c>
      <c r="D238" t="inlineStr">
        <is>
          <t>DALARNAS LÄN</t>
        </is>
      </c>
      <c r="E238" t="inlineStr">
        <is>
          <t>AVESTA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173-2023</t>
        </is>
      </c>
      <c r="B239" s="1" t="n">
        <v>44922</v>
      </c>
      <c r="C239" s="1" t="n">
        <v>45294</v>
      </c>
      <c r="D239" t="inlineStr">
        <is>
          <t>DALARNAS LÄN</t>
        </is>
      </c>
      <c r="E239" t="inlineStr">
        <is>
          <t>AVESTA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3305-2023</t>
        </is>
      </c>
      <c r="B240" s="1" t="n">
        <v>44949</v>
      </c>
      <c r="C240" s="1" t="n">
        <v>45294</v>
      </c>
      <c r="D240" t="inlineStr">
        <is>
          <t>DALARNAS LÄN</t>
        </is>
      </c>
      <c r="E240" t="inlineStr">
        <is>
          <t>AVESTA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3638-2023</t>
        </is>
      </c>
      <c r="B241" s="1" t="n">
        <v>44950</v>
      </c>
      <c r="C241" s="1" t="n">
        <v>45294</v>
      </c>
      <c r="D241" t="inlineStr">
        <is>
          <t>DALARNAS LÄN</t>
        </is>
      </c>
      <c r="E241" t="inlineStr">
        <is>
          <t>AVESTA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3798-2023</t>
        </is>
      </c>
      <c r="B242" s="1" t="n">
        <v>44951</v>
      </c>
      <c r="C242" s="1" t="n">
        <v>45294</v>
      </c>
      <c r="D242" t="inlineStr">
        <is>
          <t>DALARNAS LÄN</t>
        </is>
      </c>
      <c r="E242" t="inlineStr">
        <is>
          <t>AVESTA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6262-2023</t>
        </is>
      </c>
      <c r="B243" s="1" t="n">
        <v>44963</v>
      </c>
      <c r="C243" s="1" t="n">
        <v>45294</v>
      </c>
      <c r="D243" t="inlineStr">
        <is>
          <t>DALARNAS LÄN</t>
        </is>
      </c>
      <c r="E243" t="inlineStr">
        <is>
          <t>AVESTA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6587-2023</t>
        </is>
      </c>
      <c r="B244" s="1" t="n">
        <v>44966</v>
      </c>
      <c r="C244" s="1" t="n">
        <v>45294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6521-2023</t>
        </is>
      </c>
      <c r="B245" s="1" t="n">
        <v>44966</v>
      </c>
      <c r="C245" s="1" t="n">
        <v>45294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6971-2023</t>
        </is>
      </c>
      <c r="B246" s="1" t="n">
        <v>44967</v>
      </c>
      <c r="C246" s="1" t="n">
        <v>45294</v>
      </c>
      <c r="D246" t="inlineStr">
        <is>
          <t>DALARNAS LÄN</t>
        </is>
      </c>
      <c r="E246" t="inlineStr">
        <is>
          <t>AVESTA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7317-2023</t>
        </is>
      </c>
      <c r="B247" s="1" t="n">
        <v>44970</v>
      </c>
      <c r="C247" s="1" t="n">
        <v>45294</v>
      </c>
      <c r="D247" t="inlineStr">
        <is>
          <t>DALARNAS LÄN</t>
        </is>
      </c>
      <c r="E247" t="inlineStr">
        <is>
          <t>AVESTA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7493-2023</t>
        </is>
      </c>
      <c r="B248" s="1" t="n">
        <v>44971</v>
      </c>
      <c r="C248" s="1" t="n">
        <v>45294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7490-2023</t>
        </is>
      </c>
      <c r="B249" s="1" t="n">
        <v>44971</v>
      </c>
      <c r="C249" s="1" t="n">
        <v>45294</v>
      </c>
      <c r="D249" t="inlineStr">
        <is>
          <t>DALARNAS LÄN</t>
        </is>
      </c>
      <c r="E249" t="inlineStr">
        <is>
          <t>AVESTA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7604-2023</t>
        </is>
      </c>
      <c r="B250" s="1" t="n">
        <v>44972</v>
      </c>
      <c r="C250" s="1" t="n">
        <v>45294</v>
      </c>
      <c r="D250" t="inlineStr">
        <is>
          <t>DALARNAS LÄN</t>
        </is>
      </c>
      <c r="E250" t="inlineStr">
        <is>
          <t>AVESTA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8524-2023</t>
        </is>
      </c>
      <c r="B251" s="1" t="n">
        <v>44972</v>
      </c>
      <c r="C251" s="1" t="n">
        <v>45294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8698-2023</t>
        </is>
      </c>
      <c r="B252" s="1" t="n">
        <v>44972</v>
      </c>
      <c r="C252" s="1" t="n">
        <v>45294</v>
      </c>
      <c r="D252" t="inlineStr">
        <is>
          <t>DALARNAS LÄN</t>
        </is>
      </c>
      <c r="E252" t="inlineStr">
        <is>
          <t>AVESTA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8520-2023</t>
        </is>
      </c>
      <c r="B253" s="1" t="n">
        <v>44972</v>
      </c>
      <c r="C253" s="1" t="n">
        <v>45294</v>
      </c>
      <c r="D253" t="inlineStr">
        <is>
          <t>DALARNAS LÄN</t>
        </is>
      </c>
      <c r="E253" t="inlineStr">
        <is>
          <t>AVESTA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8521-2023</t>
        </is>
      </c>
      <c r="B254" s="1" t="n">
        <v>44977</v>
      </c>
      <c r="C254" s="1" t="n">
        <v>45294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8523-2023</t>
        </is>
      </c>
      <c r="B255" s="1" t="n">
        <v>44977</v>
      </c>
      <c r="C255" s="1" t="n">
        <v>45294</v>
      </c>
      <c r="D255" t="inlineStr">
        <is>
          <t>DALARNAS LÄN</t>
        </is>
      </c>
      <c r="E255" t="inlineStr">
        <is>
          <t>AVESTA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9148-2023</t>
        </is>
      </c>
      <c r="B256" s="1" t="n">
        <v>44980</v>
      </c>
      <c r="C256" s="1" t="n">
        <v>45294</v>
      </c>
      <c r="D256" t="inlineStr">
        <is>
          <t>DALARNAS LÄN</t>
        </is>
      </c>
      <c r="E256" t="inlineStr">
        <is>
          <t>AVESTA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9395-2023</t>
        </is>
      </c>
      <c r="B257" s="1" t="n">
        <v>44981</v>
      </c>
      <c r="C257" s="1" t="n">
        <v>45294</v>
      </c>
      <c r="D257" t="inlineStr">
        <is>
          <t>DALARNAS LÄN</t>
        </is>
      </c>
      <c r="E257" t="inlineStr">
        <is>
          <t>AVESTA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11425-2023</t>
        </is>
      </c>
      <c r="B258" s="1" t="n">
        <v>44993</v>
      </c>
      <c r="C258" s="1" t="n">
        <v>45294</v>
      </c>
      <c r="D258" t="inlineStr">
        <is>
          <t>DALARNAS LÄN</t>
        </is>
      </c>
      <c r="E258" t="inlineStr">
        <is>
          <t>AVESTA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11449-2023</t>
        </is>
      </c>
      <c r="B259" s="1" t="n">
        <v>44993</v>
      </c>
      <c r="C259" s="1" t="n">
        <v>45294</v>
      </c>
      <c r="D259" t="inlineStr">
        <is>
          <t>DALARNAS LÄN</t>
        </is>
      </c>
      <c r="E259" t="inlineStr">
        <is>
          <t>AVESTA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12087-2023</t>
        </is>
      </c>
      <c r="B260" s="1" t="n">
        <v>44998</v>
      </c>
      <c r="C260" s="1" t="n">
        <v>45294</v>
      </c>
      <c r="D260" t="inlineStr">
        <is>
          <t>DALARNAS LÄN</t>
        </is>
      </c>
      <c r="E260" t="inlineStr">
        <is>
          <t>AVESTA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12167-2023</t>
        </is>
      </c>
      <c r="B261" s="1" t="n">
        <v>44998</v>
      </c>
      <c r="C261" s="1" t="n">
        <v>45294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12165-2023</t>
        </is>
      </c>
      <c r="B262" s="1" t="n">
        <v>44998</v>
      </c>
      <c r="C262" s="1" t="n">
        <v>45294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12351-2023</t>
        </is>
      </c>
      <c r="B263" s="1" t="n">
        <v>44999</v>
      </c>
      <c r="C263" s="1" t="n">
        <v>45294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12357-2023</t>
        </is>
      </c>
      <c r="B264" s="1" t="n">
        <v>44999</v>
      </c>
      <c r="C264" s="1" t="n">
        <v>45294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14021-2023</t>
        </is>
      </c>
      <c r="B265" s="1" t="n">
        <v>45007</v>
      </c>
      <c r="C265" s="1" t="n">
        <v>45294</v>
      </c>
      <c r="D265" t="inlineStr">
        <is>
          <t>DALARNAS LÄN</t>
        </is>
      </c>
      <c r="E265" t="inlineStr">
        <is>
          <t>AVESTA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14027-2023</t>
        </is>
      </c>
      <c r="B266" s="1" t="n">
        <v>45007</v>
      </c>
      <c r="C266" s="1" t="n">
        <v>45294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14023-2023</t>
        </is>
      </c>
      <c r="B267" s="1" t="n">
        <v>45007</v>
      </c>
      <c r="C267" s="1" t="n">
        <v>45294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14030-2023</t>
        </is>
      </c>
      <c r="B268" s="1" t="n">
        <v>45007</v>
      </c>
      <c r="C268" s="1" t="n">
        <v>45294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13940-2023</t>
        </is>
      </c>
      <c r="B269" s="1" t="n">
        <v>45008</v>
      </c>
      <c r="C269" s="1" t="n">
        <v>45294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13983-2023</t>
        </is>
      </c>
      <c r="B270" s="1" t="n">
        <v>45008</v>
      </c>
      <c r="C270" s="1" t="n">
        <v>45294</v>
      </c>
      <c r="D270" t="inlineStr">
        <is>
          <t>DALARNAS LÄN</t>
        </is>
      </c>
      <c r="E270" t="inlineStr">
        <is>
          <t>AVESTA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13965-2023</t>
        </is>
      </c>
      <c r="B271" s="1" t="n">
        <v>45008</v>
      </c>
      <c r="C271" s="1" t="n">
        <v>45294</v>
      </c>
      <c r="D271" t="inlineStr">
        <is>
          <t>DALARNAS LÄN</t>
        </is>
      </c>
      <c r="E271" t="inlineStr">
        <is>
          <t>AVESTA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14090-2023</t>
        </is>
      </c>
      <c r="B272" s="1" t="n">
        <v>45009</v>
      </c>
      <c r="C272" s="1" t="n">
        <v>45294</v>
      </c>
      <c r="D272" t="inlineStr">
        <is>
          <t>DALARNAS LÄN</t>
        </is>
      </c>
      <c r="E272" t="inlineStr">
        <is>
          <t>AVESTA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14084-2023</t>
        </is>
      </c>
      <c r="B273" s="1" t="n">
        <v>45009</v>
      </c>
      <c r="C273" s="1" t="n">
        <v>45294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14603-2023</t>
        </is>
      </c>
      <c r="B274" s="1" t="n">
        <v>45013</v>
      </c>
      <c r="C274" s="1" t="n">
        <v>45294</v>
      </c>
      <c r="D274" t="inlineStr">
        <is>
          <t>DALARNAS LÄN</t>
        </is>
      </c>
      <c r="E274" t="inlineStr">
        <is>
          <t>AVESTA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14773-2023</t>
        </is>
      </c>
      <c r="B275" s="1" t="n">
        <v>45014</v>
      </c>
      <c r="C275" s="1" t="n">
        <v>45294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14944-2023</t>
        </is>
      </c>
      <c r="B276" s="1" t="n">
        <v>45015</v>
      </c>
      <c r="C276" s="1" t="n">
        <v>45294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15066-2023</t>
        </is>
      </c>
      <c r="B277" s="1" t="n">
        <v>45015</v>
      </c>
      <c r="C277" s="1" t="n">
        <v>45294</v>
      </c>
      <c r="D277" t="inlineStr">
        <is>
          <t>DALARNAS LÄN</t>
        </is>
      </c>
      <c r="E277" t="inlineStr">
        <is>
          <t>AVESTA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15361-2023</t>
        </is>
      </c>
      <c r="B278" s="1" t="n">
        <v>45019</v>
      </c>
      <c r="C278" s="1" t="n">
        <v>45294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16488-2023</t>
        </is>
      </c>
      <c r="B279" s="1" t="n">
        <v>45029</v>
      </c>
      <c r="C279" s="1" t="n">
        <v>45294</v>
      </c>
      <c r="D279" t="inlineStr">
        <is>
          <t>DALARNAS LÄN</t>
        </is>
      </c>
      <c r="E279" t="inlineStr">
        <is>
          <t>AVESTA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17560-2023</t>
        </is>
      </c>
      <c r="B280" s="1" t="n">
        <v>45036</v>
      </c>
      <c r="C280" s="1" t="n">
        <v>45294</v>
      </c>
      <c r="D280" t="inlineStr">
        <is>
          <t>DALARNAS LÄN</t>
        </is>
      </c>
      <c r="E280" t="inlineStr">
        <is>
          <t>AVESTA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18042-2023</t>
        </is>
      </c>
      <c r="B281" s="1" t="n">
        <v>45040</v>
      </c>
      <c r="C281" s="1" t="n">
        <v>45294</v>
      </c>
      <c r="D281" t="inlineStr">
        <is>
          <t>DALARNAS LÄN</t>
        </is>
      </c>
      <c r="E281" t="inlineStr">
        <is>
          <t>AVESTA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18197-2023</t>
        </is>
      </c>
      <c r="B282" s="1" t="n">
        <v>45040</v>
      </c>
      <c r="C282" s="1" t="n">
        <v>45294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18333-2023</t>
        </is>
      </c>
      <c r="B283" s="1" t="n">
        <v>45041</v>
      </c>
      <c r="C283" s="1" t="n">
        <v>45294</v>
      </c>
      <c r="D283" t="inlineStr">
        <is>
          <t>DALARNAS LÄN</t>
        </is>
      </c>
      <c r="E283" t="inlineStr">
        <is>
          <t>AVESTA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18805-2023</t>
        </is>
      </c>
      <c r="B284" s="1" t="n">
        <v>45044</v>
      </c>
      <c r="C284" s="1" t="n">
        <v>45294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18966-2023</t>
        </is>
      </c>
      <c r="B285" s="1" t="n">
        <v>45044</v>
      </c>
      <c r="C285" s="1" t="n">
        <v>45294</v>
      </c>
      <c r="D285" t="inlineStr">
        <is>
          <t>DALARNAS LÄN</t>
        </is>
      </c>
      <c r="E285" t="inlineStr">
        <is>
          <t>AVESTA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20705-2023</t>
        </is>
      </c>
      <c r="B286" s="1" t="n">
        <v>45058</v>
      </c>
      <c r="C286" s="1" t="n">
        <v>45294</v>
      </c>
      <c r="D286" t="inlineStr">
        <is>
          <t>DALARNAS LÄN</t>
        </is>
      </c>
      <c r="E286" t="inlineStr">
        <is>
          <t>AVESTA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21412-2023</t>
        </is>
      </c>
      <c r="B287" s="1" t="n">
        <v>45058</v>
      </c>
      <c r="C287" s="1" t="n">
        <v>45294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21322-2023</t>
        </is>
      </c>
      <c r="B288" s="1" t="n">
        <v>45058</v>
      </c>
      <c r="C288" s="1" t="n">
        <v>45294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21430-2023</t>
        </is>
      </c>
      <c r="B289" s="1" t="n">
        <v>45058</v>
      </c>
      <c r="C289" s="1" t="n">
        <v>45294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22876-2023</t>
        </is>
      </c>
      <c r="B290" s="1" t="n">
        <v>45070</v>
      </c>
      <c r="C290" s="1" t="n">
        <v>45294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22816-2023</t>
        </is>
      </c>
      <c r="B291" s="1" t="n">
        <v>45072</v>
      </c>
      <c r="C291" s="1" t="n">
        <v>45294</v>
      </c>
      <c r="D291" t="inlineStr">
        <is>
          <t>DALARNAS LÄN</t>
        </is>
      </c>
      <c r="E291" t="inlineStr">
        <is>
          <t>AVESTA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22818-2023</t>
        </is>
      </c>
      <c r="B292" s="1" t="n">
        <v>45072</v>
      </c>
      <c r="C292" s="1" t="n">
        <v>45294</v>
      </c>
      <c r="D292" t="inlineStr">
        <is>
          <t>DALARNAS LÄN</t>
        </is>
      </c>
      <c r="E292" t="inlineStr">
        <is>
          <t>AVESTA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23974-2023</t>
        </is>
      </c>
      <c r="B293" s="1" t="n">
        <v>45078</v>
      </c>
      <c r="C293" s="1" t="n">
        <v>45294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24177-2023</t>
        </is>
      </c>
      <c r="B294" s="1" t="n">
        <v>45079</v>
      </c>
      <c r="C294" s="1" t="n">
        <v>45294</v>
      </c>
      <c r="D294" t="inlineStr">
        <is>
          <t>DALARNAS LÄN</t>
        </is>
      </c>
      <c r="E294" t="inlineStr">
        <is>
          <t>AVESTA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25463-2023</t>
        </is>
      </c>
      <c r="B295" s="1" t="n">
        <v>45082</v>
      </c>
      <c r="C295" s="1" t="n">
        <v>45294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25445-2023</t>
        </is>
      </c>
      <c r="B296" s="1" t="n">
        <v>45082</v>
      </c>
      <c r="C296" s="1" t="n">
        <v>45294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25743-2023</t>
        </is>
      </c>
      <c r="B297" s="1" t="n">
        <v>45084</v>
      </c>
      <c r="C297" s="1" t="n">
        <v>45294</v>
      </c>
      <c r="D297" t="inlineStr">
        <is>
          <t>DALARNAS LÄN</t>
        </is>
      </c>
      <c r="E297" t="inlineStr">
        <is>
          <t>AVESTA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26317-2023</t>
        </is>
      </c>
      <c r="B298" s="1" t="n">
        <v>45091</v>
      </c>
      <c r="C298" s="1" t="n">
        <v>45294</v>
      </c>
      <c r="D298" t="inlineStr">
        <is>
          <t>DALARNAS LÄN</t>
        </is>
      </c>
      <c r="E298" t="inlineStr">
        <is>
          <t>AVESTA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26715-2023</t>
        </is>
      </c>
      <c r="B299" s="1" t="n">
        <v>45093</v>
      </c>
      <c r="C299" s="1" t="n">
        <v>45294</v>
      </c>
      <c r="D299" t="inlineStr">
        <is>
          <t>DALARNAS LÄN</t>
        </is>
      </c>
      <c r="E299" t="inlineStr">
        <is>
          <t>AVESTA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31116-2023</t>
        </is>
      </c>
      <c r="B300" s="1" t="n">
        <v>45103</v>
      </c>
      <c r="C300" s="1" t="n">
        <v>45294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37.2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31136-2023</t>
        </is>
      </c>
      <c r="B301" s="1" t="n">
        <v>45103</v>
      </c>
      <c r="C301" s="1" t="n">
        <v>45294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31138-2023</t>
        </is>
      </c>
      <c r="B302" s="1" t="n">
        <v>45103</v>
      </c>
      <c r="C302" s="1" t="n">
        <v>45294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30612-2023</t>
        </is>
      </c>
      <c r="B303" s="1" t="n">
        <v>45112</v>
      </c>
      <c r="C303" s="1" t="n">
        <v>45294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32682-2023</t>
        </is>
      </c>
      <c r="B304" s="1" t="n">
        <v>45112</v>
      </c>
      <c r="C304" s="1" t="n">
        <v>45294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32684-2023</t>
        </is>
      </c>
      <c r="B305" s="1" t="n">
        <v>45112</v>
      </c>
      <c r="C305" s="1" t="n">
        <v>45294</v>
      </c>
      <c r="D305" t="inlineStr">
        <is>
          <t>DALARNAS LÄN</t>
        </is>
      </c>
      <c r="E305" t="inlineStr">
        <is>
          <t>AVESTA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32084-2023</t>
        </is>
      </c>
      <c r="B306" s="1" t="n">
        <v>45119</v>
      </c>
      <c r="C306" s="1" t="n">
        <v>45294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32768-2023</t>
        </is>
      </c>
      <c r="B307" s="1" t="n">
        <v>45123</v>
      </c>
      <c r="C307" s="1" t="n">
        <v>45294</v>
      </c>
      <c r="D307" t="inlineStr">
        <is>
          <t>DALARNAS LÄN</t>
        </is>
      </c>
      <c r="E307" t="inlineStr">
        <is>
          <t>AVESTA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32769-2023</t>
        </is>
      </c>
      <c r="B308" s="1" t="n">
        <v>45123</v>
      </c>
      <c r="C308" s="1" t="n">
        <v>45294</v>
      </c>
      <c r="D308" t="inlineStr">
        <is>
          <t>DALARNAS LÄN</t>
        </is>
      </c>
      <c r="E308" t="inlineStr">
        <is>
          <t>AVESTA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32771-2023</t>
        </is>
      </c>
      <c r="B309" s="1" t="n">
        <v>45123</v>
      </c>
      <c r="C309" s="1" t="n">
        <v>45294</v>
      </c>
      <c r="D309" t="inlineStr">
        <is>
          <t>DALARNAS LÄN</t>
        </is>
      </c>
      <c r="E309" t="inlineStr">
        <is>
          <t>AVESTA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32770-2023</t>
        </is>
      </c>
      <c r="B310" s="1" t="n">
        <v>45123</v>
      </c>
      <c r="C310" s="1" t="n">
        <v>45294</v>
      </c>
      <c r="D310" t="inlineStr">
        <is>
          <t>DALARNAS LÄN</t>
        </is>
      </c>
      <c r="E310" t="inlineStr">
        <is>
          <t>AVESTA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34186-2023</t>
        </is>
      </c>
      <c r="B311" s="1" t="n">
        <v>45138</v>
      </c>
      <c r="C311" s="1" t="n">
        <v>45294</v>
      </c>
      <c r="D311" t="inlineStr">
        <is>
          <t>DALARNAS LÄN</t>
        </is>
      </c>
      <c r="E311" t="inlineStr">
        <is>
          <t>AVESTA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34190-2023</t>
        </is>
      </c>
      <c r="B312" s="1" t="n">
        <v>45138</v>
      </c>
      <c r="C312" s="1" t="n">
        <v>45294</v>
      </c>
      <c r="D312" t="inlineStr">
        <is>
          <t>DALARNAS LÄN</t>
        </is>
      </c>
      <c r="E312" t="inlineStr">
        <is>
          <t>AVESTA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35078-2023</t>
        </is>
      </c>
      <c r="B313" s="1" t="n">
        <v>45142</v>
      </c>
      <c r="C313" s="1" t="n">
        <v>45294</v>
      </c>
      <c r="D313" t="inlineStr">
        <is>
          <t>DALARNAS LÄN</t>
        </is>
      </c>
      <c r="E313" t="inlineStr">
        <is>
          <t>AVESTA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38441-2023</t>
        </is>
      </c>
      <c r="B314" s="1" t="n">
        <v>45162</v>
      </c>
      <c r="C314" s="1" t="n">
        <v>45294</v>
      </c>
      <c r="D314" t="inlineStr">
        <is>
          <t>DALARNAS LÄN</t>
        </is>
      </c>
      <c r="E314" t="inlineStr">
        <is>
          <t>AVESTA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40873-2023</t>
        </is>
      </c>
      <c r="B315" s="1" t="n">
        <v>45173</v>
      </c>
      <c r="C315" s="1" t="n">
        <v>45294</v>
      </c>
      <c r="D315" t="inlineStr">
        <is>
          <t>DALARNAS LÄN</t>
        </is>
      </c>
      <c r="E315" t="inlineStr">
        <is>
          <t>AVESTA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41019-2023</t>
        </is>
      </c>
      <c r="B316" s="1" t="n">
        <v>45173</v>
      </c>
      <c r="C316" s="1" t="n">
        <v>45294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41018-2023</t>
        </is>
      </c>
      <c r="B317" s="1" t="n">
        <v>45173</v>
      </c>
      <c r="C317" s="1" t="n">
        <v>45294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41026-2023</t>
        </is>
      </c>
      <c r="B318" s="1" t="n">
        <v>45173</v>
      </c>
      <c r="C318" s="1" t="n">
        <v>45294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41611-2023</t>
        </is>
      </c>
      <c r="B319" s="1" t="n">
        <v>45175</v>
      </c>
      <c r="C319" s="1" t="n">
        <v>45294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41609-2023</t>
        </is>
      </c>
      <c r="B320" s="1" t="n">
        <v>45175</v>
      </c>
      <c r="C320" s="1" t="n">
        <v>45294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41461-2023</t>
        </is>
      </c>
      <c r="B321" s="1" t="n">
        <v>45175</v>
      </c>
      <c r="C321" s="1" t="n">
        <v>45294</v>
      </c>
      <c r="D321" t="inlineStr">
        <is>
          <t>DALARNAS LÄN</t>
        </is>
      </c>
      <c r="E321" t="inlineStr">
        <is>
          <t>AVESTA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43086-2023</t>
        </is>
      </c>
      <c r="B322" s="1" t="n">
        <v>45182</v>
      </c>
      <c r="C322" s="1" t="n">
        <v>45294</v>
      </c>
      <c r="D322" t="inlineStr">
        <is>
          <t>DALARNAS LÄN</t>
        </is>
      </c>
      <c r="E322" t="inlineStr">
        <is>
          <t>AVESTA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43738-2023</t>
        </is>
      </c>
      <c r="B323" s="1" t="n">
        <v>45187</v>
      </c>
      <c r="C323" s="1" t="n">
        <v>45294</v>
      </c>
      <c r="D323" t="inlineStr">
        <is>
          <t>DALARNAS LÄN</t>
        </is>
      </c>
      <c r="E323" t="inlineStr">
        <is>
          <t>AVESTA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43773-2023</t>
        </is>
      </c>
      <c r="B324" s="1" t="n">
        <v>45187</v>
      </c>
      <c r="C324" s="1" t="n">
        <v>45294</v>
      </c>
      <c r="D324" t="inlineStr">
        <is>
          <t>DALARNAS LÄN</t>
        </is>
      </c>
      <c r="E324" t="inlineStr">
        <is>
          <t>AVESTA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45294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45294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45294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45294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45294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45294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45294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45294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45294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45294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45294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45294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45294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45294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45294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45294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45294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45294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45294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45294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45294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45294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45294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45294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45294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45294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45294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45294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45294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45294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45294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45294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45294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45294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45294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45294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45294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59462-2023</t>
        </is>
      </c>
      <c r="B362" s="1" t="n">
        <v>45254</v>
      </c>
      <c r="C362" s="1" t="n">
        <v>45294</v>
      </c>
      <c r="D362" t="inlineStr">
        <is>
          <t>DALARNAS LÄN</t>
        </is>
      </c>
      <c r="E362" t="inlineStr">
        <is>
          <t>AVESTA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45294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45294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45294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60037-2023</t>
        </is>
      </c>
      <c r="B366" s="1" t="n">
        <v>45258</v>
      </c>
      <c r="C366" s="1" t="n">
        <v>45294</v>
      </c>
      <c r="D366" t="inlineStr">
        <is>
          <t>DALARNAS LÄN</t>
        </is>
      </c>
      <c r="E366" t="inlineStr">
        <is>
          <t>AVESTA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45294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45294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45294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61483-2023</t>
        </is>
      </c>
      <c r="B370" s="1" t="n">
        <v>45264</v>
      </c>
      <c r="C370" s="1" t="n">
        <v>45294</v>
      </c>
      <c r="D370" t="inlineStr">
        <is>
          <t>DALARNAS LÄN</t>
        </is>
      </c>
      <c r="E370" t="inlineStr">
        <is>
          <t>AVESTA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45294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45294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45294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61850-2023</t>
        </is>
      </c>
      <c r="B374" s="1" t="n">
        <v>45266</v>
      </c>
      <c r="C374" s="1" t="n">
        <v>45294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45294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45294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45294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45294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45294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62292-2023</t>
        </is>
      </c>
      <c r="B380" s="1" t="n">
        <v>45267</v>
      </c>
      <c r="C380" s="1" t="n">
        <v>45294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62447-2023</t>
        </is>
      </c>
      <c r="B381" s="1" t="n">
        <v>45268</v>
      </c>
      <c r="C381" s="1" t="n">
        <v>45294</v>
      </c>
      <c r="D381" t="inlineStr">
        <is>
          <t>DALARNAS LÄN</t>
        </is>
      </c>
      <c r="E381" t="inlineStr">
        <is>
          <t>AVESTA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62566-2023</t>
        </is>
      </c>
      <c r="B382" s="1" t="n">
        <v>45269</v>
      </c>
      <c r="C382" s="1" t="n">
        <v>45294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62565-2023</t>
        </is>
      </c>
      <c r="B383" s="1" t="n">
        <v>45269</v>
      </c>
      <c r="C383" s="1" t="n">
        <v>45294</v>
      </c>
      <c r="D383" t="inlineStr">
        <is>
          <t>DALARNAS LÄN</t>
        </is>
      </c>
      <c r="E383" t="inlineStr">
        <is>
          <t>AVESTA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62616-2023</t>
        </is>
      </c>
      <c r="B384" s="1" t="n">
        <v>45271</v>
      </c>
      <c r="C384" s="1" t="n">
        <v>45294</v>
      </c>
      <c r="D384" t="inlineStr">
        <is>
          <t>DALARNAS LÄN</t>
        </is>
      </c>
      <c r="E384" t="inlineStr">
        <is>
          <t>AVESTA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45294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45294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63126-2023</t>
        </is>
      </c>
      <c r="B387" s="1" t="n">
        <v>45273</v>
      </c>
      <c r="C387" s="1" t="n">
        <v>45294</v>
      </c>
      <c r="D387" t="inlineStr">
        <is>
          <t>DALARNAS LÄN</t>
        </is>
      </c>
      <c r="E387" t="inlineStr">
        <is>
          <t>AVESTA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63316-2023</t>
        </is>
      </c>
      <c r="B388" s="1" t="n">
        <v>45273</v>
      </c>
      <c r="C388" s="1" t="n">
        <v>45294</v>
      </c>
      <c r="D388" t="inlineStr">
        <is>
          <t>DALARNAS LÄN</t>
        </is>
      </c>
      <c r="E388" t="inlineStr">
        <is>
          <t>AVESTA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63434-2023</t>
        </is>
      </c>
      <c r="B389" s="1" t="n">
        <v>45274</v>
      </c>
      <c r="C389" s="1" t="n">
        <v>45294</v>
      </c>
      <c r="D389" t="inlineStr">
        <is>
          <t>DALARNAS LÄN</t>
        </is>
      </c>
      <c r="E389" t="inlineStr">
        <is>
          <t>AVESTA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64051-2023</t>
        </is>
      </c>
      <c r="B390" s="1" t="n">
        <v>45279</v>
      </c>
      <c r="C390" s="1" t="n">
        <v>45294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64055-2023</t>
        </is>
      </c>
      <c r="B391" s="1" t="n">
        <v>45279</v>
      </c>
      <c r="C391" s="1" t="n">
        <v>45294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64087-2023</t>
        </is>
      </c>
      <c r="B392" s="1" t="n">
        <v>45279</v>
      </c>
      <c r="C392" s="1" t="n">
        <v>45294</v>
      </c>
      <c r="D392" t="inlineStr">
        <is>
          <t>DALARNAS LÄN</t>
        </is>
      </c>
      <c r="E392" t="inlineStr">
        <is>
          <t>AVESTA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64085-2023</t>
        </is>
      </c>
      <c r="B393" s="1" t="n">
        <v>45279</v>
      </c>
      <c r="C393" s="1" t="n">
        <v>45294</v>
      </c>
      <c r="D393" t="inlineStr">
        <is>
          <t>DALARNAS LÄN</t>
        </is>
      </c>
      <c r="E393" t="inlineStr">
        <is>
          <t>AVESTA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64561-2023</t>
        </is>
      </c>
      <c r="B394" s="1" t="n">
        <v>45281</v>
      </c>
      <c r="C394" s="1" t="n">
        <v>45294</v>
      </c>
      <c r="D394" t="inlineStr">
        <is>
          <t>DALARNAS LÄN</t>
        </is>
      </c>
      <c r="E394" t="inlineStr">
        <is>
          <t>AVESTA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45294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64708-2023</t>
        </is>
      </c>
      <c r="B396" s="1" t="n">
        <v>45281</v>
      </c>
      <c r="C396" s="1" t="n">
        <v>45294</v>
      </c>
      <c r="D396" t="inlineStr">
        <is>
          <t>DALARNAS LÄN</t>
        </is>
      </c>
      <c r="E396" t="inlineStr">
        <is>
          <t>AVESTA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2024-01-03T10:02:06Z</dcterms:created>
  <dcterms:modified xmlns:dcterms="http://purl.org/dc/terms/" xmlns:xsi="http://www.w3.org/2001/XMLSchema-instance" xsi:type="dcterms:W3CDTF">2024-01-03T10:02:06Z</dcterms:modified>
</cp:coreProperties>
</file>