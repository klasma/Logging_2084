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46226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46226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46226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46226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46226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46226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46226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46226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46226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46226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46226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46226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56786-2024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45628</v>
      </c>
      <c r="E18" s="1" t="n">
        <v>46226</v>
      </c>
      <c r="F18" t="inlineStr">
        <is>
          <t>DALARNAS LÄN</t>
        </is>
      </c>
      <c r="G18" t="inlineStr">
        <is>
          <t>AVESTA</t>
        </is>
      </c>
      <c r="I18" t="n">
        <v>4.7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HYPERLINK("https://klasma.github.io/Logging_2084/artfynd/A 56786-2024 artfynd.xlsx", "A 56786-2024")</f>
        <v/>
      </c>
      <c r="X18">
        <f>HYPERLINK("https://klasma.github.io/Logging_2084/kartor/A 56786-2024 karta.png", "A 56786-2024")</f>
        <v/>
      </c>
      <c r="Y18">
        <f>HYPERLINK("https://klasma.github.io/Logging_2084/kartor_geotiff/A 56786-2024 georefererad karta.tif", "A 56786-2024")</f>
        <v/>
      </c>
      <c r="Z18">
        <f>HYPERLINK("https://klasma.github.io/Logging_2084/knärot/A 56786-2024 karta knärot.png", "A 56786-2024")</f>
        <v/>
      </c>
      <c r="AA18">
        <f>HYPERLINK("https://klasma.github.io/Logging_2084/klagomål/A 56786-2024 FSC-klagomål.docx", "A 56786-2024")</f>
        <v/>
      </c>
      <c r="AB18">
        <f>HYPERLINK("https://klasma.github.io/Logging_2084/klagomålsmail/A 56786-2024 FSC-klagomål mail.docx", "A 56786-2024")</f>
        <v/>
      </c>
      <c r="AC18">
        <f>HYPERLINK("https://klasma.github.io/Logging_2084/tillsyn/A 56786-2024 tillsynsbegäran.docx", "A 56786-2024")</f>
        <v/>
      </c>
      <c r="AD18">
        <f>HYPERLINK("https://klasma.github.io/Logging_2084/tillsynsmail/A 56786-2024 tillsynsbegäran mail.docx", "A 56786-2024")</f>
        <v/>
      </c>
    </row>
    <row r="19" ht="15" customHeight="1">
      <c r="A19" t="inlineStr">
        <is>
          <t>A 60446-2025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45995</v>
      </c>
      <c r="E19" s="1" t="n">
        <v>46226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Ullticka</t>
        </is>
      </c>
      <c r="W19">
        <f>HYPERLINK("https://klasma.github.io/Logging_2084/artfynd/A 60446-2025 artfynd.xlsx", "A 60446-2025")</f>
        <v/>
      </c>
      <c r="X19">
        <f>HYPERLINK("https://klasma.github.io/Logging_2084/kartor/A 60446-2025 karta.png", "A 60446-2025")</f>
        <v/>
      </c>
      <c r="Y19">
        <f>HYPERLINK("https://klasma.github.io/Logging_2084/kartor_geotiff/A 60446-2025 georefererad karta.tif", "A 60446-2025")</f>
        <v/>
      </c>
      <c r="AA19">
        <f>HYPERLINK("https://klasma.github.io/Logging_2084/klagomål/A 60446-2025 FSC-klagomål.docx", "A 60446-2025")</f>
        <v/>
      </c>
      <c r="AB19">
        <f>HYPERLINK("https://klasma.github.io/Logging_2084/klagomålsmail/A 60446-2025 FSC-klagomål mail.docx", "A 60446-2025")</f>
        <v/>
      </c>
      <c r="AC19">
        <f>HYPERLINK("https://klasma.github.io/Logging_2084/tillsyn/A 60446-2025 tillsynsbegäran.docx", "A 60446-2025")</f>
        <v/>
      </c>
      <c r="AD19">
        <f>HYPERLINK("https://klasma.github.io/Logging_2084/tillsynsmail/A 60446-2025 tillsynsbegäran mail.docx", "A 60446-2025")</f>
        <v/>
      </c>
    </row>
    <row r="20" ht="15" customHeight="1">
      <c r="A20" t="inlineStr">
        <is>
          <t>A 15987-2026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46108</v>
      </c>
      <c r="E20" s="1" t="n">
        <v>46226</v>
      </c>
      <c r="F20" t="inlineStr">
        <is>
          <t>DALARNAS LÄN</t>
        </is>
      </c>
      <c r="G20" t="inlineStr">
        <is>
          <t>AVESTA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HYPERLINK("https://klasma.github.io/Logging_2084/artfynd/A 15987-2026 artfynd.xlsx", "A 15987-2026")</f>
        <v/>
      </c>
      <c r="X20">
        <f>HYPERLINK("https://klasma.github.io/Logging_2084/kartor/A 15987-2026 karta.png", "A 15987-2026")</f>
        <v/>
      </c>
      <c r="Y20">
        <f>HYPERLINK("https://klasma.github.io/Logging_2084/kartor_geotiff/A 15987-2026 georefererad karta.tif", "A 15987-2026")</f>
        <v/>
      </c>
      <c r="AA20">
        <f>HYPERLINK("https://klasma.github.io/Logging_2084/klagomål/A 15987-2026 FSC-klagomål.docx", "A 15987-2026")</f>
        <v/>
      </c>
      <c r="AB20">
        <f>HYPERLINK("https://klasma.github.io/Logging_2084/klagomålsmail/A 15987-2026 FSC-klagomål mail.docx", "A 15987-2026")</f>
        <v/>
      </c>
      <c r="AC20">
        <f>HYPERLINK("https://klasma.github.io/Logging_2084/tillsyn/A 15987-2026 tillsynsbegäran.docx", "A 15987-2026")</f>
        <v/>
      </c>
      <c r="AD20">
        <f>HYPERLINK("https://klasma.github.io/Logging_2084/tillsynsmail/A 15987-2026 tillsynsbegäran mail.docx", "A 15987-2026")</f>
        <v/>
      </c>
    </row>
    <row r="21" ht="15" customHeight="1">
      <c r="A21" t="inlineStr">
        <is>
          <t>A 39253-2025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46226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10.2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Nordfladdermus</t>
        </is>
      </c>
      <c r="W21">
        <f>HYPERLINK("https://klasma.github.io/Logging_2084/artfynd/A 39253-2025 artfynd.xlsx", "A 39253-2025")</f>
        <v/>
      </c>
      <c r="X21">
        <f>HYPERLINK("https://klasma.github.io/Logging_2084/kartor/A 39253-2025 karta.png", "A 39253-2025")</f>
        <v/>
      </c>
      <c r="Y21">
        <f>HYPERLINK("https://klasma.github.io/Logging_2084/kartor_geotiff/A 39253-2025 georefererad karta.tif", "A 39253-2025")</f>
        <v/>
      </c>
      <c r="AA21">
        <f>HYPERLINK("https://klasma.github.io/Logging_2084/klagomål/A 39253-2025 FSC-klagomål.docx", "A 39253-2025")</f>
        <v/>
      </c>
      <c r="AB21">
        <f>HYPERLINK("https://klasma.github.io/Logging_2084/klagomålsmail/A 39253-2025 FSC-klagomål mail.docx", "A 39253-2025")</f>
        <v/>
      </c>
      <c r="AC21">
        <f>HYPERLINK("https://klasma.github.io/Logging_2084/tillsyn/A 39253-2025 tillsynsbegäran.docx", "A 39253-2025")</f>
        <v/>
      </c>
      <c r="AD21">
        <f>HYPERLINK("https://klasma.github.io/Logging_2084/tillsynsmail/A 39253-2025 tillsynsbegäran mail.docx", "A 39253-2025")</f>
        <v/>
      </c>
    </row>
    <row r="22" ht="15" customHeight="1">
      <c r="A22" t="inlineStr">
        <is>
          <t>A 10943-2024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46226</v>
      </c>
      <c r="F22" t="inlineStr">
        <is>
          <t>DALARNAS LÄN</t>
        </is>
      </c>
      <c r="G22" t="inlineStr">
        <is>
          <t>AVESTA</t>
        </is>
      </c>
      <c r="I22" t="n">
        <v>8.5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HYPERLINK("https://klasma.github.io/Logging_2084/artfynd/A 10943-2024 artfynd.xlsx", "A 10943-2024")</f>
        <v/>
      </c>
      <c r="X22">
        <f>HYPERLINK("https://klasma.github.io/Logging_2084/kartor/A 10943-2024 karta.png", "A 10943-2024")</f>
        <v/>
      </c>
      <c r="Y22">
        <f>HYPERLINK("https://klasma.github.io/Logging_2084/kartor_geotiff/A 10943-2024 georefererad karta.tif", "A 10943-2024")</f>
        <v/>
      </c>
      <c r="AA22">
        <f>HYPERLINK("https://klasma.github.io/Logging_2084/klagomål/A 10943-2024 FSC-klagomål.docx", "A 10943-2024")</f>
        <v/>
      </c>
      <c r="AB22">
        <f>HYPERLINK("https://klasma.github.io/Logging_2084/klagomålsmail/A 10943-2024 FSC-klagomål mail.docx", "A 10943-2024")</f>
        <v/>
      </c>
      <c r="AC22">
        <f>HYPERLINK("https://klasma.github.io/Logging_2084/tillsyn/A 10943-2024 tillsynsbegäran.docx", "A 10943-2024")</f>
        <v/>
      </c>
      <c r="AD22">
        <f>HYPERLINK("https://klasma.github.io/Logging_2084/tillsynsmail/A 10943-2024 tillsynsbegäran mail.docx", "A 10943-2024")</f>
        <v/>
      </c>
      <c r="AE22">
        <f>HYPERLINK("https://klasma.github.io/Logging_2084/fåglar/A 10943-2024 prioriterade fågelarter.docx", "A 10943-2024")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46226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46226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46226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26787-2026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46226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26787-2026 artfynd.xlsx", "A 26787-2026")</f>
        <v/>
      </c>
      <c r="X26">
        <f>HYPERLINK("https://klasma.github.io/Logging_2084/kartor/A 26787-2026 karta.png", "A 26787-2026")</f>
        <v/>
      </c>
      <c r="Y26">
        <f>HYPERLINK("https://klasma.github.io/Logging_2084/kartor_geotiff/A 26787-2026 georefererad karta.tif", "A 26787-2026")</f>
        <v/>
      </c>
      <c r="AA26">
        <f>HYPERLINK("https://klasma.github.io/Logging_2084/klagomål/A 26787-2026 FSC-klagomål.docx", "A 26787-2026")</f>
        <v/>
      </c>
      <c r="AB26">
        <f>HYPERLINK("https://klasma.github.io/Logging_2084/klagomålsmail/A 26787-2026 FSC-klagomål mail.docx", "A 26787-2026")</f>
        <v/>
      </c>
      <c r="AC26">
        <f>HYPERLINK("https://klasma.github.io/Logging_2084/tillsyn/A 26787-2026 tillsynsbegäran.docx", "A 26787-2026")</f>
        <v/>
      </c>
      <c r="AD26">
        <f>HYPERLINK("https://klasma.github.io/Logging_2084/tillsynsmail/A 26787-2026 tillsynsbegäran mail.docx", "A 26787-2026")</f>
        <v/>
      </c>
    </row>
    <row r="27" ht="15" customHeight="1">
      <c r="A27" t="inlineStr">
        <is>
          <t>A 1993-2026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46035</v>
      </c>
      <c r="E27" s="1" t="n">
        <v>46226</v>
      </c>
      <c r="F27" t="inlineStr">
        <is>
          <t>DALARNAS LÄN</t>
        </is>
      </c>
      <c r="G27" t="inlineStr">
        <is>
          <t>AVESTA</t>
        </is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HYPERLINK("https://klasma.github.io/Logging_2084/artfynd/A 1993-2026 artfynd.xlsx", "A 1993-2026")</f>
        <v/>
      </c>
      <c r="X27">
        <f>HYPERLINK("https://klasma.github.io/Logging_2084/kartor/A 1993-2026 karta.png", "A 1993-2026")</f>
        <v/>
      </c>
      <c r="Y27">
        <f>HYPERLINK("https://klasma.github.io/Logging_2084/kartor_geotiff/A 1993-2026 georefererad karta.tif", "A 1993-2026")</f>
        <v/>
      </c>
      <c r="AA27">
        <f>HYPERLINK("https://klasma.github.io/Logging_2084/klagomål/A 1993-2026 FSC-klagomål.docx", "A 1993-2026")</f>
        <v/>
      </c>
      <c r="AB27">
        <f>HYPERLINK("https://klasma.github.io/Logging_2084/klagomålsmail/A 1993-2026 FSC-klagomål mail.docx", "A 1993-2026")</f>
        <v/>
      </c>
      <c r="AC27">
        <f>HYPERLINK("https://klasma.github.io/Logging_2084/tillsyn/A 1993-2026 tillsynsbegäran.docx", "A 1993-2026")</f>
        <v/>
      </c>
      <c r="AD27">
        <f>HYPERLINK("https://klasma.github.io/Logging_2084/tillsynsmail/A 1993-2026 tillsynsbegäran mail.docx", "A 1993-2026")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46226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46226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46226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46226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46226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46226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46226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46226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46226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46226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46226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46226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46226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46226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46226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46226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46226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46226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46226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46226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46226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46226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46226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46226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46226</v>
      </c>
      <c r="F53" t="inlineStr">
        <is>
          <t>DALARNAS LÄN</t>
        </is>
      </c>
      <c r="G53" t="inlineStr">
        <is>
          <t>AVESTA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44428</v>
      </c>
      <c r="E54" s="1" t="n">
        <v>46226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46226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46226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46226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46226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46226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46226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46226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46226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46226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46226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46226</v>
      </c>
      <c r="F65" t="inlineStr">
        <is>
          <t>DALARNAS LÄN</t>
        </is>
      </c>
      <c r="G65" t="inlineStr">
        <is>
          <t>AVESTA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45496</v>
      </c>
      <c r="E66" s="1" t="n">
        <v>46226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46226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46226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45267</v>
      </c>
      <c r="E69" s="1" t="n">
        <v>46226</v>
      </c>
      <c r="F69" t="inlineStr">
        <is>
          <t>DALARNAS LÄN</t>
        </is>
      </c>
      <c r="G69" t="inlineStr">
        <is>
          <t>AVESTA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46226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46226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46226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46226</v>
      </c>
      <c r="F73" t="inlineStr">
        <is>
          <t>DALARNAS LÄN</t>
        </is>
      </c>
      <c r="G73" t="inlineStr">
        <is>
          <t>AVESTA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45082</v>
      </c>
      <c r="E74" s="1" t="n">
        <v>46226</v>
      </c>
      <c r="F74" t="inlineStr">
        <is>
          <t>DALARNAS LÄN</t>
        </is>
      </c>
      <c r="G74" t="inlineStr">
        <is>
          <t>AVESTA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46226</v>
      </c>
      <c r="F75" t="inlineStr">
        <is>
          <t>DALARNAS LÄN</t>
        </is>
      </c>
      <c r="G75" t="inlineStr">
        <is>
          <t>AVESTA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46226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45598</v>
      </c>
      <c r="E77" s="1" t="n">
        <v>46226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46226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46226</v>
      </c>
      <c r="F79" t="inlineStr">
        <is>
          <t>DALARNAS LÄN</t>
        </is>
      </c>
      <c r="G79" t="inlineStr">
        <is>
          <t>AVESTA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45269</v>
      </c>
      <c r="E80" s="1" t="n">
        <v>46226</v>
      </c>
      <c r="F80" t="inlineStr">
        <is>
          <t>DALARNAS LÄN</t>
        </is>
      </c>
      <c r="G80" t="inlineStr">
        <is>
          <t>AVESTA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46226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44684</v>
      </c>
      <c r="E82" s="1" t="n">
        <v>46226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16522-2025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45751</v>
      </c>
      <c r="E83" s="1" t="n">
        <v>46226</v>
      </c>
      <c r="F83" t="inlineStr">
        <is>
          <t>DALARNAS LÄN</t>
        </is>
      </c>
      <c r="G83" t="inlineStr">
        <is>
          <t>AVESTA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46226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31000-2024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45499</v>
      </c>
      <c r="E85" s="1" t="n">
        <v>46226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46226</v>
      </c>
      <c r="F86" t="inlineStr">
        <is>
          <t>DALARNAS LÄN</t>
        </is>
      </c>
      <c r="G86" t="inlineStr">
        <is>
          <t>AVESTA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46226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45015</v>
      </c>
      <c r="E88" s="1" t="n">
        <v>46226</v>
      </c>
      <c r="F88" t="inlineStr">
        <is>
          <t>DALARNAS LÄN</t>
        </is>
      </c>
      <c r="G88" t="inlineStr">
        <is>
          <t>AVESTA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46062</v>
      </c>
      <c r="E89" s="1" t="n">
        <v>46226</v>
      </c>
      <c r="F89" t="inlineStr">
        <is>
          <t>DALARNAS LÄN</t>
        </is>
      </c>
      <c r="G89" t="inlineStr">
        <is>
          <t>AVESTA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28108-2022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44746</v>
      </c>
      <c r="E90" s="1" t="n">
        <v>46226</v>
      </c>
      <c r="F90" t="inlineStr">
        <is>
          <t>DALARNAS LÄN</t>
        </is>
      </c>
      <c r="G90" t="inlineStr">
        <is>
          <t>AVESTA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45348</v>
      </c>
      <c r="E91" s="1" t="n">
        <v>46226</v>
      </c>
      <c r="F91" t="inlineStr">
        <is>
          <t>DALARNAS LÄN</t>
        </is>
      </c>
      <c r="G91" t="inlineStr">
        <is>
          <t>AVESTA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46226</v>
      </c>
      <c r="F92" t="inlineStr">
        <is>
          <t>DALARNAS LÄN</t>
        </is>
      </c>
      <c r="G92" t="inlineStr">
        <is>
          <t>AVESTA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46226</v>
      </c>
      <c r="F93" t="inlineStr">
        <is>
          <t>DALARNAS LÄN</t>
        </is>
      </c>
      <c r="G93" t="inlineStr">
        <is>
          <t>AVESTA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46226</v>
      </c>
      <c r="F94" t="inlineStr">
        <is>
          <t>DALARNAS LÄN</t>
        </is>
      </c>
      <c r="G94" t="inlineStr">
        <is>
          <t>AVESTA</t>
        </is>
      </c>
      <c r="H94" t="inlineStr">
        <is>
          <t>Bergvik skog väst AB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44753</v>
      </c>
      <c r="E95" s="1" t="n">
        <v>46226</v>
      </c>
      <c r="F95" t="inlineStr">
        <is>
          <t>DALARNAS LÄN</t>
        </is>
      </c>
      <c r="G95" t="inlineStr">
        <is>
          <t>AVESTA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46226</v>
      </c>
      <c r="F96" t="inlineStr">
        <is>
          <t>DALARNAS LÄN</t>
        </is>
      </c>
      <c r="G96" t="inlineStr">
        <is>
          <t>AVESTA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46226</v>
      </c>
      <c r="F97" t="inlineStr">
        <is>
          <t>DALARNAS LÄN</t>
        </is>
      </c>
      <c r="G97" t="inlineStr">
        <is>
          <t>AVESTA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46226</v>
      </c>
      <c r="F98" t="inlineStr">
        <is>
          <t>DALARNAS LÄN</t>
        </is>
      </c>
      <c r="G98" t="inlineStr">
        <is>
          <t>AVESTA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46226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46226</v>
      </c>
      <c r="F100" t="inlineStr">
        <is>
          <t>DALARNAS LÄN</t>
        </is>
      </c>
      <c r="G100" t="inlineStr">
        <is>
          <t>AVESTA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46226</v>
      </c>
      <c r="F101" t="inlineStr">
        <is>
          <t>DALARNAS LÄN</t>
        </is>
      </c>
      <c r="G101" t="inlineStr">
        <is>
          <t>AVESTA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46226</v>
      </c>
      <c r="F102" t="inlineStr">
        <is>
          <t>DALARNAS LÄN</t>
        </is>
      </c>
      <c r="G102" t="inlineStr">
        <is>
          <t>AVESTA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45496</v>
      </c>
      <c r="E103" s="1" t="n">
        <v>46226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45496</v>
      </c>
      <c r="E104" s="1" t="n">
        <v>46226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46226</v>
      </c>
      <c r="F105" t="inlineStr">
        <is>
          <t>DALARNAS LÄN</t>
        </is>
      </c>
      <c r="G105" t="inlineStr">
        <is>
          <t>AVESTA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45910</v>
      </c>
      <c r="E106" s="1" t="n">
        <v>46226</v>
      </c>
      <c r="F106" t="inlineStr">
        <is>
          <t>DALARNAS LÄN</t>
        </is>
      </c>
      <c r="G106" t="inlineStr">
        <is>
          <t>AVESTA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46226</v>
      </c>
      <c r="F107" t="inlineStr">
        <is>
          <t>DALARNAS LÄN</t>
        </is>
      </c>
      <c r="G107" t="inlineStr">
        <is>
          <t>AVESTA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46226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46226</v>
      </c>
      <c r="F109" t="inlineStr">
        <is>
          <t>DALARNAS LÄN</t>
        </is>
      </c>
      <c r="G109" t="inlineStr">
        <is>
          <t>AVESTA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45492</v>
      </c>
      <c r="E110" s="1" t="n">
        <v>46226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46226</v>
      </c>
      <c r="F111" t="inlineStr">
        <is>
          <t>DALARNAS LÄN</t>
        </is>
      </c>
      <c r="G111" t="inlineStr">
        <is>
          <t>AVESTA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46226</v>
      </c>
      <c r="F112" t="inlineStr">
        <is>
          <t>DALARNAS LÄN</t>
        </is>
      </c>
      <c r="G112" t="inlineStr">
        <is>
          <t>AVESTA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44865</v>
      </c>
      <c r="E113" s="1" t="n">
        <v>46226</v>
      </c>
      <c r="F113" t="inlineStr">
        <is>
          <t>DALARNAS LÄN</t>
        </is>
      </c>
      <c r="G113" t="inlineStr">
        <is>
          <t>AVESTA</t>
        </is>
      </c>
      <c r="I113" t="n">
        <v>14.8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46226</v>
      </c>
      <c r="F114" t="inlineStr">
        <is>
          <t>DALARNAS LÄN</t>
        </is>
      </c>
      <c r="G114" t="inlineStr">
        <is>
          <t>AVESTA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44687</v>
      </c>
      <c r="E115" s="1" t="n">
        <v>46226</v>
      </c>
      <c r="F115" t="inlineStr">
        <is>
          <t>DALARNAS LÄN</t>
        </is>
      </c>
      <c r="G115" t="inlineStr">
        <is>
          <t>AVESTA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46226</v>
      </c>
      <c r="F116" t="inlineStr">
        <is>
          <t>DALARNAS LÄN</t>
        </is>
      </c>
      <c r="G116" t="inlineStr">
        <is>
          <t>AVESTA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46226</v>
      </c>
      <c r="F117" t="inlineStr">
        <is>
          <t>DALARNAS LÄN</t>
        </is>
      </c>
      <c r="G117" t="inlineStr">
        <is>
          <t>AVESTA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46226</v>
      </c>
      <c r="F118" t="inlineStr">
        <is>
          <t>DALARNAS LÄN</t>
        </is>
      </c>
      <c r="G118" t="inlineStr">
        <is>
          <t>AVESTA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46226</v>
      </c>
      <c r="F119" t="inlineStr">
        <is>
          <t>DALARNAS LÄN</t>
        </is>
      </c>
      <c r="G119" t="inlineStr">
        <is>
          <t>AVESTA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46113</v>
      </c>
      <c r="E120" s="1" t="n">
        <v>46226</v>
      </c>
      <c r="F120" t="inlineStr">
        <is>
          <t>DALARNAS LÄN</t>
        </is>
      </c>
      <c r="G120" t="inlineStr">
        <is>
          <t>AVESTA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46226</v>
      </c>
      <c r="F121" t="inlineStr">
        <is>
          <t>DALARNAS LÄN</t>
        </is>
      </c>
      <c r="G121" t="inlineStr">
        <is>
          <t>AVESTA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16820-2026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46113</v>
      </c>
      <c r="E122" s="1" t="n">
        <v>46226</v>
      </c>
      <c r="F122" t="inlineStr">
        <is>
          <t>DALARNAS LÄN</t>
        </is>
      </c>
      <c r="G122" t="inlineStr">
        <is>
          <t>AVESTA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46113</v>
      </c>
      <c r="E123" s="1" t="n">
        <v>46226</v>
      </c>
      <c r="F123" t="inlineStr">
        <is>
          <t>DALARNAS LÄN</t>
        </is>
      </c>
      <c r="G123" t="inlineStr">
        <is>
          <t>AVESTA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46226</v>
      </c>
      <c r="F124" t="inlineStr">
        <is>
          <t>DALARNAS LÄN</t>
        </is>
      </c>
      <c r="G124" t="inlineStr">
        <is>
          <t>AVESTA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46226</v>
      </c>
      <c r="F125" t="inlineStr">
        <is>
          <t>DALARNAS LÄN</t>
        </is>
      </c>
      <c r="G125" t="inlineStr">
        <is>
          <t>AVESTA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46113</v>
      </c>
      <c r="E126" s="1" t="n">
        <v>46226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46226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46226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46226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46226</v>
      </c>
      <c r="F130" t="inlineStr">
        <is>
          <t>DALARNAS LÄN</t>
        </is>
      </c>
      <c r="G130" t="inlineStr">
        <is>
          <t>AVESTA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46226</v>
      </c>
      <c r="F131" t="inlineStr">
        <is>
          <t>DALARNAS LÄN</t>
        </is>
      </c>
      <c r="G131" t="inlineStr">
        <is>
          <t>AVESTA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46226</v>
      </c>
      <c r="F132" t="inlineStr">
        <is>
          <t>DALARNAS LÄN</t>
        </is>
      </c>
      <c r="G132" t="inlineStr">
        <is>
          <t>AVESTA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45943</v>
      </c>
      <c r="E133" s="1" t="n">
        <v>46226</v>
      </c>
      <c r="F133" t="inlineStr">
        <is>
          <t>DALARNAS LÄN</t>
        </is>
      </c>
      <c r="G133" t="inlineStr">
        <is>
          <t>AVESTA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46226</v>
      </c>
      <c r="F134" t="inlineStr">
        <is>
          <t>DALARNAS LÄN</t>
        </is>
      </c>
      <c r="G134" t="inlineStr">
        <is>
          <t>AVESTA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45944</v>
      </c>
      <c r="E135" s="1" t="n">
        <v>46226</v>
      </c>
      <c r="F135" t="inlineStr">
        <is>
          <t>DALARNAS LÄN</t>
        </is>
      </c>
      <c r="G135" t="inlineStr">
        <is>
          <t>AVESTA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46226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46226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46226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18679-2026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46128</v>
      </c>
      <c r="E139" s="1" t="n">
        <v>46226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46128</v>
      </c>
      <c r="E140" s="1" t="n">
        <v>46226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46226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45948</v>
      </c>
      <c r="E142" s="1" t="n">
        <v>46226</v>
      </c>
      <c r="F142" t="inlineStr">
        <is>
          <t>DALARNAS LÄN</t>
        </is>
      </c>
      <c r="G142" t="inlineStr">
        <is>
          <t>AVESTA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45948</v>
      </c>
      <c r="E143" s="1" t="n">
        <v>46226</v>
      </c>
      <c r="F143" t="inlineStr">
        <is>
          <t>DALARNAS LÄN</t>
        </is>
      </c>
      <c r="G143" t="inlineStr">
        <is>
          <t>AVESTA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46226</v>
      </c>
      <c r="F144" t="inlineStr">
        <is>
          <t>DALARNAS LÄN</t>
        </is>
      </c>
      <c r="G144" t="inlineStr">
        <is>
          <t>AVESTA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45007</v>
      </c>
      <c r="E145" s="1" t="n">
        <v>46226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46226</v>
      </c>
      <c r="F146" t="inlineStr">
        <is>
          <t>DALARNAS LÄN</t>
        </is>
      </c>
      <c r="G146" t="inlineStr">
        <is>
          <t>AVESTA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46226</v>
      </c>
      <c r="F147" t="inlineStr">
        <is>
          <t>DALARNAS LÄN</t>
        </is>
      </c>
      <c r="G147" t="inlineStr">
        <is>
          <t>AVESTA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45684</v>
      </c>
      <c r="E148" s="1" t="n">
        <v>46226</v>
      </c>
      <c r="F148" t="inlineStr">
        <is>
          <t>DALARNAS LÄN</t>
        </is>
      </c>
      <c r="G148" t="inlineStr">
        <is>
          <t>AVESTA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46135</v>
      </c>
      <c r="E149" s="1" t="n">
        <v>46226</v>
      </c>
      <c r="F149" t="inlineStr">
        <is>
          <t>DALARNAS LÄN</t>
        </is>
      </c>
      <c r="G149" t="inlineStr">
        <is>
          <t>AVESTA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46226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46226</v>
      </c>
      <c r="F151" t="inlineStr">
        <is>
          <t>DALARNAS LÄN</t>
        </is>
      </c>
      <c r="G151" t="inlineStr">
        <is>
          <t>AVESTA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46226</v>
      </c>
      <c r="F152" t="inlineStr">
        <is>
          <t>DALARNAS LÄN</t>
        </is>
      </c>
      <c r="G152" t="inlineStr">
        <is>
          <t>AVESTA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46226</v>
      </c>
      <c r="F153" t="inlineStr">
        <is>
          <t>DALARNAS LÄN</t>
        </is>
      </c>
      <c r="G153" t="inlineStr">
        <is>
          <t>AVESTA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45514</v>
      </c>
      <c r="E154" s="1" t="n">
        <v>46226</v>
      </c>
      <c r="F154" t="inlineStr">
        <is>
          <t>DALARNAS LÄN</t>
        </is>
      </c>
      <c r="G154" t="inlineStr">
        <is>
          <t>AVESTA</t>
        </is>
      </c>
      <c r="H154" t="inlineStr">
        <is>
          <t>Bergvik skog väst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45866</v>
      </c>
      <c r="E155" s="1" t="n">
        <v>46226</v>
      </c>
      <c r="F155" t="inlineStr">
        <is>
          <t>DALARNAS LÄN</t>
        </is>
      </c>
      <c r="G155" t="inlineStr">
        <is>
          <t>AVESTA</t>
        </is>
      </c>
      <c r="I155" t="n">
        <v>10.6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46226</v>
      </c>
      <c r="F156" t="inlineStr">
        <is>
          <t>DALARNAS LÄN</t>
        </is>
      </c>
      <c r="G156" t="inlineStr">
        <is>
          <t>AVESTA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46226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50682-2024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45602</v>
      </c>
      <c r="E158" s="1" t="n">
        <v>46226</v>
      </c>
      <c r="F158" t="inlineStr">
        <is>
          <t>DALARNAS LÄN</t>
        </is>
      </c>
      <c r="G158" t="inlineStr">
        <is>
          <t>AVESTA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46226</v>
      </c>
      <c r="F159" t="inlineStr">
        <is>
          <t>DALARNAS LÄN</t>
        </is>
      </c>
      <c r="G159" t="inlineStr">
        <is>
          <t>AVESTA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46226</v>
      </c>
      <c r="F160" t="inlineStr">
        <is>
          <t>DALARNAS LÄN</t>
        </is>
      </c>
      <c r="G160" t="inlineStr">
        <is>
          <t>AVESTA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45912</v>
      </c>
      <c r="E161" s="1" t="n">
        <v>46226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46226</v>
      </c>
      <c r="F162" t="inlineStr">
        <is>
          <t>DALARNAS LÄN</t>
        </is>
      </c>
      <c r="G162" t="inlineStr">
        <is>
          <t>AVESTA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46226</v>
      </c>
      <c r="F163" t="inlineStr">
        <is>
          <t>DALARNAS LÄN</t>
        </is>
      </c>
      <c r="G163" t="inlineStr">
        <is>
          <t>AVESTA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46226</v>
      </c>
      <c r="F164" t="inlineStr">
        <is>
          <t>DALARNAS LÄN</t>
        </is>
      </c>
      <c r="G164" t="inlineStr">
        <is>
          <t>AVESTA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46226</v>
      </c>
      <c r="F165" t="inlineStr">
        <is>
          <t>DALARNAS LÄN</t>
        </is>
      </c>
      <c r="G165" t="inlineStr">
        <is>
          <t>AVESTA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46226</v>
      </c>
      <c r="F166" t="inlineStr">
        <is>
          <t>DALARNAS LÄN</t>
        </is>
      </c>
      <c r="G166" t="inlineStr">
        <is>
          <t>AVESTA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36004-2025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45863</v>
      </c>
      <c r="E167" s="1" t="n">
        <v>46226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45863</v>
      </c>
      <c r="E168" s="1" t="n">
        <v>46226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45863</v>
      </c>
      <c r="E169" s="1" t="n">
        <v>46226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45982</v>
      </c>
      <c r="E170" s="1" t="n">
        <v>46226</v>
      </c>
      <c r="F170" t="inlineStr">
        <is>
          <t>DALARNAS LÄN</t>
        </is>
      </c>
      <c r="G170" t="inlineStr">
        <is>
          <t>AVESTA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45008</v>
      </c>
      <c r="E171" s="1" t="n">
        <v>46226</v>
      </c>
      <c r="F171" t="inlineStr">
        <is>
          <t>DALARNAS LÄN</t>
        </is>
      </c>
      <c r="G171" t="inlineStr">
        <is>
          <t>AVESTA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45007</v>
      </c>
      <c r="E172" s="1" t="n">
        <v>46226</v>
      </c>
      <c r="F172" t="inlineStr">
        <is>
          <t>DALARNAS LÄN</t>
        </is>
      </c>
      <c r="G172" t="inlineStr">
        <is>
          <t>AVESTA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45505</v>
      </c>
      <c r="E173" s="1" t="n">
        <v>46226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45867</v>
      </c>
      <c r="E174" s="1" t="n">
        <v>46226</v>
      </c>
      <c r="F174" t="inlineStr">
        <is>
          <t>DALARNAS LÄN</t>
        </is>
      </c>
      <c r="G174" t="inlineStr">
        <is>
          <t>AVESTA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44971</v>
      </c>
      <c r="E175" s="1" t="n">
        <v>46226</v>
      </c>
      <c r="F175" t="inlineStr">
        <is>
          <t>DALARNAS LÄN</t>
        </is>
      </c>
      <c r="G175" t="inlineStr">
        <is>
          <t>AVESTA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46226</v>
      </c>
      <c r="F176" t="inlineStr">
        <is>
          <t>DALARNAS LÄN</t>
        </is>
      </c>
      <c r="G176" t="inlineStr">
        <is>
          <t>AVESTA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45138</v>
      </c>
      <c r="E177" s="1" t="n">
        <v>46226</v>
      </c>
      <c r="F177" t="inlineStr">
        <is>
          <t>DALARNAS LÄN</t>
        </is>
      </c>
      <c r="G177" t="inlineStr">
        <is>
          <t>AVESTA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46226</v>
      </c>
      <c r="F178" t="inlineStr">
        <is>
          <t>DALARNAS LÄN</t>
        </is>
      </c>
      <c r="G178" t="inlineStr">
        <is>
          <t>AVESTA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46226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46226</v>
      </c>
      <c r="F180" t="inlineStr">
        <is>
          <t>DALARNAS LÄN</t>
        </is>
      </c>
      <c r="G180" t="inlineStr">
        <is>
          <t>AVESTA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46226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46226</v>
      </c>
      <c r="F182" t="inlineStr">
        <is>
          <t>DALARNAS LÄN</t>
        </is>
      </c>
      <c r="G182" t="inlineStr">
        <is>
          <t>AVESTA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46226</v>
      </c>
      <c r="F183" t="inlineStr">
        <is>
          <t>DALARNAS LÄN</t>
        </is>
      </c>
      <c r="G183" t="inlineStr">
        <is>
          <t>AVESTA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46226</v>
      </c>
      <c r="F184" t="inlineStr">
        <is>
          <t>DALARNAS LÄN</t>
        </is>
      </c>
      <c r="G184" t="inlineStr">
        <is>
          <t>AVESTA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46226</v>
      </c>
      <c r="F185" t="inlineStr">
        <is>
          <t>DALARNAS LÄN</t>
        </is>
      </c>
      <c r="G185" t="inlineStr">
        <is>
          <t>AVESTA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46226</v>
      </c>
      <c r="F186" t="inlineStr">
        <is>
          <t>DALARNAS LÄN</t>
        </is>
      </c>
      <c r="G186" t="inlineStr">
        <is>
          <t>AVESTA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45044</v>
      </c>
      <c r="E187" s="1" t="n">
        <v>46226</v>
      </c>
      <c r="F187" t="inlineStr">
        <is>
          <t>DALARNAS LÄN</t>
        </is>
      </c>
      <c r="G187" t="inlineStr">
        <is>
          <t>AVESTA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9403-2022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44616</v>
      </c>
      <c r="E188" s="1" t="n">
        <v>46226</v>
      </c>
      <c r="F188" t="inlineStr">
        <is>
          <t>DALARNAS LÄN</t>
        </is>
      </c>
      <c r="G188" t="inlineStr">
        <is>
          <t>AVESTA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46226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45269</v>
      </c>
      <c r="E190" s="1" t="n">
        <v>46226</v>
      </c>
      <c r="F190" t="inlineStr">
        <is>
          <t>DALARNAS LÄN</t>
        </is>
      </c>
      <c r="G190" t="inlineStr">
        <is>
          <t>AVESTA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46226</v>
      </c>
      <c r="F191" t="inlineStr">
        <is>
          <t>DALARNAS LÄN</t>
        </is>
      </c>
      <c r="G191" t="inlineStr">
        <is>
          <t>AVESTA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46226</v>
      </c>
      <c r="F192" t="inlineStr">
        <is>
          <t>DALARNAS LÄN</t>
        </is>
      </c>
      <c r="G192" t="inlineStr">
        <is>
          <t>AVESTA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46226</v>
      </c>
      <c r="F193" t="inlineStr">
        <is>
          <t>DALARNAS LÄN</t>
        </is>
      </c>
      <c r="G193" t="inlineStr">
        <is>
          <t>AVESTA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21028-2026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46146</v>
      </c>
      <c r="E194" s="1" t="n">
        <v>46226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46226</v>
      </c>
      <c r="F195" t="inlineStr">
        <is>
          <t>DALARNAS LÄN</t>
        </is>
      </c>
      <c r="G195" t="inlineStr">
        <is>
          <t>AVESTA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45628</v>
      </c>
      <c r="E196" s="1" t="n">
        <v>46226</v>
      </c>
      <c r="F196" t="inlineStr">
        <is>
          <t>DALARNAS LÄN</t>
        </is>
      </c>
      <c r="G196" t="inlineStr">
        <is>
          <t>AVESTA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46226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45007</v>
      </c>
      <c r="E198" s="1" t="n">
        <v>46226</v>
      </c>
      <c r="F198" t="inlineStr">
        <is>
          <t>DALARNAS LÄN</t>
        </is>
      </c>
      <c r="G198" t="inlineStr">
        <is>
          <t>AVESTA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45881</v>
      </c>
      <c r="E199" s="1" t="n">
        <v>46226</v>
      </c>
      <c r="F199" t="inlineStr">
        <is>
          <t>DALARNAS LÄN</t>
        </is>
      </c>
      <c r="G199" t="inlineStr">
        <is>
          <t>AVESTA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46226</v>
      </c>
      <c r="F200" t="inlineStr">
        <is>
          <t>DALARNAS LÄN</t>
        </is>
      </c>
      <c r="G200" t="inlineStr">
        <is>
          <t>AVESTA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64102-2025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46226</v>
      </c>
      <c r="F201" t="inlineStr">
        <is>
          <t>DALARNAS LÄN</t>
        </is>
      </c>
      <c r="G201" t="inlineStr">
        <is>
          <t>AVESTA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46226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46226</v>
      </c>
      <c r="F203" t="inlineStr">
        <is>
          <t>DALARNAS LÄN</t>
        </is>
      </c>
      <c r="G203" t="inlineStr">
        <is>
          <t>AVESTA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28227-2026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46196</v>
      </c>
      <c r="E204" s="1" t="n">
        <v>46226</v>
      </c>
      <c r="F204" t="inlineStr">
        <is>
          <t>DALARNAS LÄN</t>
        </is>
      </c>
      <c r="G204" t="inlineStr">
        <is>
          <t>AVESTA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46226</v>
      </c>
      <c r="F205" t="inlineStr">
        <is>
          <t>DALARNAS LÄN</t>
        </is>
      </c>
      <c r="G205" t="inlineStr">
        <is>
          <t>AVESTA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46226</v>
      </c>
      <c r="F206" t="inlineStr">
        <is>
          <t>DALARNAS LÄN</t>
        </is>
      </c>
      <c r="G206" t="inlineStr">
        <is>
          <t>AVESTA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46045</v>
      </c>
      <c r="E207" s="1" t="n">
        <v>46226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12.1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46226</v>
      </c>
      <c r="F208" t="inlineStr">
        <is>
          <t>DALARNAS LÄN</t>
        </is>
      </c>
      <c r="G208" t="inlineStr">
        <is>
          <t>AVESTA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46155</v>
      </c>
      <c r="E209" s="1" t="n">
        <v>46226</v>
      </c>
      <c r="F209" t="inlineStr">
        <is>
          <t>DALARNAS LÄN</t>
        </is>
      </c>
      <c r="G209" t="inlineStr">
        <is>
          <t>AVESTA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46226</v>
      </c>
      <c r="F210" t="inlineStr">
        <is>
          <t>DALARNAS LÄN</t>
        </is>
      </c>
      <c r="G210" t="inlineStr">
        <is>
          <t>AVESTA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46226</v>
      </c>
      <c r="F211" t="inlineStr">
        <is>
          <t>DALARNAS LÄN</t>
        </is>
      </c>
      <c r="G211" t="inlineStr">
        <is>
          <t>AVESTA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46226</v>
      </c>
      <c r="F212" t="inlineStr">
        <is>
          <t>DALARNAS LÄN</t>
        </is>
      </c>
      <c r="G212" t="inlineStr">
        <is>
          <t>AVESTA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46226</v>
      </c>
      <c r="F213" t="inlineStr">
        <is>
          <t>DALARNAS LÄN</t>
        </is>
      </c>
      <c r="G213" t="inlineStr">
        <is>
          <t>AVESTA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46226</v>
      </c>
      <c r="F214" t="inlineStr">
        <is>
          <t>DALARNAS LÄN</t>
        </is>
      </c>
      <c r="G214" t="inlineStr">
        <is>
          <t>AVESTA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46226</v>
      </c>
      <c r="F215" t="inlineStr">
        <is>
          <t>DALARNAS LÄN</t>
        </is>
      </c>
      <c r="G215" t="inlineStr">
        <is>
          <t>AVESTA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46155</v>
      </c>
      <c r="E216" s="1" t="n">
        <v>46226</v>
      </c>
      <c r="F216" t="inlineStr">
        <is>
          <t>DALARNAS LÄN</t>
        </is>
      </c>
      <c r="G216" t="inlineStr">
        <is>
          <t>AVESTA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46226</v>
      </c>
      <c r="F217" t="inlineStr">
        <is>
          <t>DALARNAS LÄN</t>
        </is>
      </c>
      <c r="G217" t="inlineStr">
        <is>
          <t>AVESTA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46226</v>
      </c>
      <c r="F218" t="inlineStr">
        <is>
          <t>DALARNAS LÄN</t>
        </is>
      </c>
      <c r="G218" t="inlineStr">
        <is>
          <t>AVESTA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46226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45769</v>
      </c>
      <c r="E220" s="1" t="n">
        <v>46226</v>
      </c>
      <c r="F220" t="inlineStr">
        <is>
          <t>DALARNAS LÄN</t>
        </is>
      </c>
      <c r="G220" t="inlineStr">
        <is>
          <t>AVESTA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45497</v>
      </c>
      <c r="E221" s="1" t="n">
        <v>46226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46226</v>
      </c>
      <c r="F222" t="inlineStr">
        <is>
          <t>DALARNAS LÄN</t>
        </is>
      </c>
      <c r="G222" t="inlineStr">
        <is>
          <t>AVESTA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46226</v>
      </c>
      <c r="F223" t="inlineStr">
        <is>
          <t>DALARNAS LÄN</t>
        </is>
      </c>
      <c r="G223" t="inlineStr">
        <is>
          <t>AVESTA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46226</v>
      </c>
      <c r="F224" t="inlineStr">
        <is>
          <t>DALARNAS LÄN</t>
        </is>
      </c>
      <c r="G224" t="inlineStr">
        <is>
          <t>AVESTA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46226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46226</v>
      </c>
      <c r="F226" t="inlineStr">
        <is>
          <t>DALARNAS LÄN</t>
        </is>
      </c>
      <c r="G226" t="inlineStr">
        <is>
          <t>AVESTA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45370</v>
      </c>
      <c r="E227" s="1" t="n">
        <v>46226</v>
      </c>
      <c r="F227" t="inlineStr">
        <is>
          <t>DALARNAS LÄN</t>
        </is>
      </c>
      <c r="G227" t="inlineStr">
        <is>
          <t>AVESTA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46226</v>
      </c>
      <c r="F228" t="inlineStr">
        <is>
          <t>DALARNAS LÄN</t>
        </is>
      </c>
      <c r="G228" t="inlineStr">
        <is>
          <t>AVESTA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46226</v>
      </c>
      <c r="F229" t="inlineStr">
        <is>
          <t>DALARNAS LÄN</t>
        </is>
      </c>
      <c r="G229" t="inlineStr">
        <is>
          <t>AVESTA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44581</v>
      </c>
      <c r="E230" s="1" t="n">
        <v>46226</v>
      </c>
      <c r="F230" t="inlineStr">
        <is>
          <t>DALARNAS LÄN</t>
        </is>
      </c>
      <c r="G230" t="inlineStr">
        <is>
          <t>AVESTA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46226</v>
      </c>
      <c r="F231" t="inlineStr">
        <is>
          <t>DALARNAS LÄN</t>
        </is>
      </c>
      <c r="G231" t="inlineStr">
        <is>
          <t>AVESTA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46226</v>
      </c>
      <c r="F232" t="inlineStr">
        <is>
          <t>DALARNAS LÄN</t>
        </is>
      </c>
      <c r="G232" t="inlineStr">
        <is>
          <t>AVESTA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46226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46226</v>
      </c>
      <c r="F234" t="inlineStr">
        <is>
          <t>DALARNAS LÄN</t>
        </is>
      </c>
      <c r="G234" t="inlineStr">
        <is>
          <t>AVESTA</t>
        </is>
      </c>
      <c r="I234" t="n">
        <v>17.6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46226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45072</v>
      </c>
      <c r="E236" s="1" t="n">
        <v>46226</v>
      </c>
      <c r="F236" t="inlineStr">
        <is>
          <t>DALARNAS LÄN</t>
        </is>
      </c>
      <c r="G236" t="inlineStr">
        <is>
          <t>AVESTA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46226</v>
      </c>
      <c r="F237" t="inlineStr">
        <is>
          <t>DALARNAS LÄN</t>
        </is>
      </c>
      <c r="G237" t="inlineStr">
        <is>
          <t>AVESTA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44876</v>
      </c>
      <c r="E238" s="1" t="n">
        <v>46226</v>
      </c>
      <c r="F238" t="inlineStr">
        <is>
          <t>DALARNAS LÄN</t>
        </is>
      </c>
      <c r="G238" t="inlineStr">
        <is>
          <t>AVESTA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46168</v>
      </c>
      <c r="E239" s="1" t="n">
        <v>46226</v>
      </c>
      <c r="F239" t="inlineStr">
        <is>
          <t>DALARNAS LÄN</t>
        </is>
      </c>
      <c r="G239" t="inlineStr">
        <is>
          <t>AVESTA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55549-2023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46226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46226</v>
      </c>
      <c r="F241" t="inlineStr">
        <is>
          <t>DALARNAS LÄN</t>
        </is>
      </c>
      <c r="G241" t="inlineStr">
        <is>
          <t>AVESTA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46226</v>
      </c>
      <c r="F242" t="inlineStr">
        <is>
          <t>DALARNAS LÄN</t>
        </is>
      </c>
      <c r="G242" t="inlineStr">
        <is>
          <t>AVESTA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46226</v>
      </c>
      <c r="F243" t="inlineStr">
        <is>
          <t>DALARNAS LÄN</t>
        </is>
      </c>
      <c r="G243" t="inlineStr">
        <is>
          <t>AVESTA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46226</v>
      </c>
      <c r="F244" t="inlineStr">
        <is>
          <t>DALARNAS LÄN</t>
        </is>
      </c>
      <c r="G244" t="inlineStr">
        <is>
          <t>AVESTA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45649</v>
      </c>
      <c r="E245" s="1" t="n">
        <v>46226</v>
      </c>
      <c r="F245" t="inlineStr">
        <is>
          <t>DALARNAS LÄN</t>
        </is>
      </c>
      <c r="G245" t="inlineStr">
        <is>
          <t>AVESTA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45702</v>
      </c>
      <c r="E246" s="1" t="n">
        <v>46226</v>
      </c>
      <c r="F246" t="inlineStr">
        <is>
          <t>DALARNAS LÄN</t>
        </is>
      </c>
      <c r="G246" t="inlineStr">
        <is>
          <t>AVESTA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44141-2022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44839</v>
      </c>
      <c r="E247" s="1" t="n">
        <v>46226</v>
      </c>
      <c r="F247" t="inlineStr">
        <is>
          <t>DALARNAS LÄN</t>
        </is>
      </c>
      <c r="G247" t="inlineStr">
        <is>
          <t>AVESTA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45505</v>
      </c>
      <c r="E248" s="1" t="n">
        <v>46226</v>
      </c>
      <c r="F248" t="inlineStr">
        <is>
          <t>DALARNAS LÄN</t>
        </is>
      </c>
      <c r="G248" t="inlineStr">
        <is>
          <t>AVESTA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44551</v>
      </c>
      <c r="E249" s="1" t="n">
        <v>46226</v>
      </c>
      <c r="F249" t="inlineStr">
        <is>
          <t>DALARNAS LÄN</t>
        </is>
      </c>
      <c r="G249" t="inlineStr">
        <is>
          <t>AVESTA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46226</v>
      </c>
      <c r="F250" t="inlineStr">
        <is>
          <t>DALARNAS LÄN</t>
        </is>
      </c>
      <c r="G250" t="inlineStr">
        <is>
          <t>AVESTA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46226</v>
      </c>
      <c r="F251" t="inlineStr">
        <is>
          <t>DALARNAS LÄN</t>
        </is>
      </c>
      <c r="G251" t="inlineStr">
        <is>
          <t>AVESTA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46226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45182</v>
      </c>
      <c r="E253" s="1" t="n">
        <v>46226</v>
      </c>
      <c r="F253" t="inlineStr">
        <is>
          <t>DALARNAS LÄN</t>
        </is>
      </c>
      <c r="G253" t="inlineStr">
        <is>
          <t>AVESTA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46226</v>
      </c>
      <c r="F254" t="inlineStr">
        <is>
          <t>DALARNAS LÄN</t>
        </is>
      </c>
      <c r="G254" t="inlineStr">
        <is>
          <t>AVESTA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46226</v>
      </c>
      <c r="F255" t="inlineStr">
        <is>
          <t>DALARNAS LÄN</t>
        </is>
      </c>
      <c r="G255" t="inlineStr">
        <is>
          <t>AVESTA</t>
        </is>
      </c>
      <c r="I255" t="n">
        <v>19.2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46226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45792</v>
      </c>
      <c r="E257" s="1" t="n">
        <v>46226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11825-2026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46085</v>
      </c>
      <c r="E258" s="1" t="n">
        <v>46226</v>
      </c>
      <c r="F258" t="inlineStr">
        <is>
          <t>DALARNAS LÄN</t>
        </is>
      </c>
      <c r="G258" t="inlineStr">
        <is>
          <t>AVESTA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46124</v>
      </c>
      <c r="E259" s="1" t="n">
        <v>46226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46226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44734</v>
      </c>
      <c r="E261" s="1" t="n">
        <v>46226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26337-2026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46182</v>
      </c>
      <c r="E262" s="1" t="n">
        <v>46226</v>
      </c>
      <c r="F262" t="inlineStr">
        <is>
          <t>DALARNAS LÄN</t>
        </is>
      </c>
      <c r="G262" t="inlineStr">
        <is>
          <t>AVESTA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46226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46223</v>
      </c>
      <c r="E264" s="1" t="n">
        <v>46226</v>
      </c>
      <c r="F264" t="inlineStr">
        <is>
          <t>DALARNAS LÄN</t>
        </is>
      </c>
      <c r="G264" t="inlineStr">
        <is>
          <t>AVESTA</t>
        </is>
      </c>
      <c r="H264" t="inlineStr">
        <is>
          <t>Bergvik skog väst AB</t>
        </is>
      </c>
      <c r="I264" t="n">
        <v>21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46226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46226</v>
      </c>
      <c r="F266" t="inlineStr">
        <is>
          <t>DALARNAS LÄN</t>
        </is>
      </c>
      <c r="G266" t="inlineStr">
        <is>
          <t>AVESTA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46226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46226</v>
      </c>
      <c r="F268" t="inlineStr">
        <is>
          <t>DALARNAS LÄN</t>
        </is>
      </c>
      <c r="G268" t="inlineStr">
        <is>
          <t>AVESTA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45231</v>
      </c>
      <c r="E269" s="1" t="n">
        <v>46226</v>
      </c>
      <c r="F269" t="inlineStr">
        <is>
          <t>DALARNAS LÄN</t>
        </is>
      </c>
      <c r="G269" t="inlineStr">
        <is>
          <t>AVESTA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58094-2022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46226</v>
      </c>
      <c r="F270" t="inlineStr">
        <is>
          <t>DALARNAS LÄN</t>
        </is>
      </c>
      <c r="G270" t="inlineStr">
        <is>
          <t>AVESTA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46226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46226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46226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45549</v>
      </c>
      <c r="E274" s="1" t="n">
        <v>46226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43767-2021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44433</v>
      </c>
      <c r="E275" s="1" t="n">
        <v>46226</v>
      </c>
      <c r="F275" t="inlineStr">
        <is>
          <t>DALARNAS LÄN</t>
        </is>
      </c>
      <c r="G275" t="inlineStr">
        <is>
          <t>AVESTA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44613</v>
      </c>
      <c r="E276" s="1" t="n">
        <v>46226</v>
      </c>
      <c r="F276" t="inlineStr">
        <is>
          <t>DALARNAS LÄN</t>
        </is>
      </c>
      <c r="G276" t="inlineStr">
        <is>
          <t>AVESTA</t>
        </is>
      </c>
      <c r="I276" t="n">
        <v>12.9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46226</v>
      </c>
      <c r="F277" t="inlineStr">
        <is>
          <t>DALARNAS LÄN</t>
        </is>
      </c>
      <c r="G277" t="inlineStr">
        <is>
          <t>AVESTA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44840</v>
      </c>
      <c r="E278" s="1" t="n">
        <v>46226</v>
      </c>
      <c r="F278" t="inlineStr">
        <is>
          <t>DALARNAS LÄN</t>
        </is>
      </c>
      <c r="G278" t="inlineStr">
        <is>
          <t>AVESTA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46226</v>
      </c>
      <c r="F279" t="inlineStr">
        <is>
          <t>DALARNAS LÄN</t>
        </is>
      </c>
      <c r="G279" t="inlineStr">
        <is>
          <t>AVESTA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46226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45473</v>
      </c>
      <c r="E281" s="1" t="n">
        <v>46226</v>
      </c>
      <c r="F281" t="inlineStr">
        <is>
          <t>DALARNAS LÄN</t>
        </is>
      </c>
      <c r="G281" t="inlineStr">
        <is>
          <t>AVESTA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46226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46226</v>
      </c>
      <c r="F283" t="inlineStr">
        <is>
          <t>DALARNAS LÄN</t>
        </is>
      </c>
      <c r="G283" t="inlineStr">
        <is>
          <t>AVESTA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44875</v>
      </c>
      <c r="E284" s="1" t="n">
        <v>46226</v>
      </c>
      <c r="F284" t="inlineStr">
        <is>
          <t>DALARNAS LÄN</t>
        </is>
      </c>
      <c r="G284" t="inlineStr">
        <is>
          <t>AVESTA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45008</v>
      </c>
      <c r="E285" s="1" t="n">
        <v>46226</v>
      </c>
      <c r="F285" t="inlineStr">
        <is>
          <t>DALARNAS LÄN</t>
        </is>
      </c>
      <c r="G285" t="inlineStr">
        <is>
          <t>AVESTA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46226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46226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50681-2024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45602</v>
      </c>
      <c r="E288" s="1" t="n">
        <v>46226</v>
      </c>
      <c r="F288" t="inlineStr">
        <is>
          <t>DALARNAS LÄN</t>
        </is>
      </c>
      <c r="G288" t="inlineStr">
        <is>
          <t>AVESTA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44739</v>
      </c>
      <c r="E289" s="1" t="n">
        <v>46226</v>
      </c>
      <c r="F289" t="inlineStr">
        <is>
          <t>DALARNAS LÄN</t>
        </is>
      </c>
      <c r="G289" t="inlineStr">
        <is>
          <t>AVESTA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45538</v>
      </c>
      <c r="E290" s="1" t="n">
        <v>46226</v>
      </c>
      <c r="F290" t="inlineStr">
        <is>
          <t>DALARNAS LÄN</t>
        </is>
      </c>
      <c r="G290" t="inlineStr">
        <is>
          <t>AVESTA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45625</v>
      </c>
      <c r="E291" s="1" t="n">
        <v>46226</v>
      </c>
      <c r="F291" t="inlineStr">
        <is>
          <t>DALARNAS LÄN</t>
        </is>
      </c>
      <c r="G291" t="inlineStr">
        <is>
          <t>AVESTA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61507-2024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46226</v>
      </c>
      <c r="F292" t="inlineStr">
        <is>
          <t>DALARNAS LÄN</t>
        </is>
      </c>
      <c r="G292" t="inlineStr">
        <is>
          <t>AVESTA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46226</v>
      </c>
      <c r="F293" t="inlineStr">
        <is>
          <t>DALARNAS LÄN</t>
        </is>
      </c>
      <c r="G293" t="inlineStr">
        <is>
          <t>AVESTA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45078</v>
      </c>
      <c r="E294" s="1" t="n">
        <v>46226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32770-2023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45123</v>
      </c>
      <c r="E295" s="1" t="n">
        <v>46226</v>
      </c>
      <c r="F295" t="inlineStr">
        <is>
          <t>DALARNAS LÄN</t>
        </is>
      </c>
      <c r="G295" t="inlineStr">
        <is>
          <t>AVESTA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46226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45721</v>
      </c>
      <c r="E297" s="1" t="n">
        <v>46226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46226</v>
      </c>
      <c r="F298" t="inlineStr">
        <is>
          <t>DALARNAS LÄN</t>
        </is>
      </c>
      <c r="G298" t="inlineStr">
        <is>
          <t>AVESTA</t>
        </is>
      </c>
      <c r="H298" t="inlineStr">
        <is>
          <t>Bergvik skog väst AB</t>
        </is>
      </c>
      <c r="I298" t="n">
        <v>37.2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46226</v>
      </c>
      <c r="F299" t="inlineStr">
        <is>
          <t>DALARNAS LÄN</t>
        </is>
      </c>
      <c r="G299" t="inlineStr">
        <is>
          <t>AVESTA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46226</v>
      </c>
      <c r="F300" t="inlineStr">
        <is>
          <t>DALARNAS LÄN</t>
        </is>
      </c>
      <c r="G300" t="inlineStr">
        <is>
          <t>AVESTA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20942-2025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45777</v>
      </c>
      <c r="E301" s="1" t="n">
        <v>46226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46226</v>
      </c>
      <c r="F302" t="inlineStr">
        <is>
          <t>DALARNAS LÄN</t>
        </is>
      </c>
      <c r="G302" t="inlineStr">
        <is>
          <t>AVESTA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46226</v>
      </c>
      <c r="F303" t="inlineStr">
        <is>
          <t>DALARNAS LÄN</t>
        </is>
      </c>
      <c r="G303" t="inlineStr">
        <is>
          <t>AVESTA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45553</v>
      </c>
      <c r="E304" s="1" t="n">
        <v>46226</v>
      </c>
      <c r="F304" t="inlineStr">
        <is>
          <t>DALARNAS LÄN</t>
        </is>
      </c>
      <c r="G304" t="inlineStr">
        <is>
          <t>AVESTA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45510</v>
      </c>
      <c r="E305" s="1" t="n">
        <v>46226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45316</v>
      </c>
      <c r="E306" s="1" t="n">
        <v>46226</v>
      </c>
      <c r="F306" t="inlineStr">
        <is>
          <t>DALARNAS LÄN</t>
        </is>
      </c>
      <c r="G306" t="inlineStr">
        <is>
          <t>AVESTA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46226</v>
      </c>
      <c r="F307" t="inlineStr">
        <is>
          <t>DALARNAS LÄN</t>
        </is>
      </c>
      <c r="G307" t="inlineStr">
        <is>
          <t>AVESTA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46226</v>
      </c>
      <c r="F308" t="inlineStr">
        <is>
          <t>DALARNAS LÄN</t>
        </is>
      </c>
      <c r="G308" t="inlineStr">
        <is>
          <t>AVESTA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46226</v>
      </c>
      <c r="F309" t="inlineStr">
        <is>
          <t>DALARNAS LÄN</t>
        </is>
      </c>
      <c r="G309" t="inlineStr">
        <is>
          <t>AVESTA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55384-2023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46226</v>
      </c>
      <c r="F310" t="inlineStr">
        <is>
          <t>DALARNAS LÄN</t>
        </is>
      </c>
      <c r="G310" t="inlineStr">
        <is>
          <t>AVESTA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46226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46226</v>
      </c>
      <c r="F312" t="inlineStr">
        <is>
          <t>DALARNAS LÄN</t>
        </is>
      </c>
      <c r="G312" t="inlineStr">
        <is>
          <t>AVESTA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46226</v>
      </c>
      <c r="F313" t="inlineStr">
        <is>
          <t>DALARNAS LÄN</t>
        </is>
      </c>
      <c r="G313" t="inlineStr">
        <is>
          <t>AVESTA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46226</v>
      </c>
      <c r="F314" t="inlineStr">
        <is>
          <t>DALARNAS LÄN</t>
        </is>
      </c>
      <c r="G314" t="inlineStr">
        <is>
          <t>AVESTA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62093-2024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45656</v>
      </c>
      <c r="E315" s="1" t="n">
        <v>46226</v>
      </c>
      <c r="F315" t="inlineStr">
        <is>
          <t>DALARNAS LÄN</t>
        </is>
      </c>
      <c r="G315" t="inlineStr">
        <is>
          <t>AVESTA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45505</v>
      </c>
      <c r="E316" s="1" t="n">
        <v>46226</v>
      </c>
      <c r="F316" t="inlineStr">
        <is>
          <t>DALARNAS LÄN</t>
        </is>
      </c>
      <c r="G316" t="inlineStr">
        <is>
          <t>AVESTA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24834-2025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45799</v>
      </c>
      <c r="E317" s="1" t="n">
        <v>46226</v>
      </c>
      <c r="F317" t="inlineStr">
        <is>
          <t>DALARNAS LÄN</t>
        </is>
      </c>
      <c r="G317" t="inlineStr">
        <is>
          <t>AVESTA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46226</v>
      </c>
      <c r="F318" t="inlineStr">
        <is>
          <t>DALARNAS LÄN</t>
        </is>
      </c>
      <c r="G318" t="inlineStr">
        <is>
          <t>AVESTA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46226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46226</v>
      </c>
      <c r="F320" t="inlineStr">
        <is>
          <t>DALARNAS LÄN</t>
        </is>
      </c>
      <c r="G320" t="inlineStr">
        <is>
          <t>AVESTA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46226</v>
      </c>
      <c r="F321" t="inlineStr">
        <is>
          <t>DALARNAS LÄN</t>
        </is>
      </c>
      <c r="G321" t="inlineStr">
        <is>
          <t>AVESTA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46226</v>
      </c>
      <c r="F322" t="inlineStr">
        <is>
          <t>DALARNAS LÄN</t>
        </is>
      </c>
      <c r="G322" t="inlineStr">
        <is>
          <t>AVESTA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45265</v>
      </c>
      <c r="E323" s="1" t="n">
        <v>46226</v>
      </c>
      <c r="F323" t="inlineStr">
        <is>
          <t>DALARNAS LÄN</t>
        </is>
      </c>
      <c r="G323" t="inlineStr">
        <is>
          <t>AVESTA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46226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46226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46226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46226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46226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2026-07-23T01:45:56Z</dcterms:created>
  <dcterms:modified xmlns:dcterms="http://purl.org/dc/terms/" xmlns:xsi="http://www.w3.org/2001/XMLSchema-instance" xsi:type="dcterms:W3CDTF">2026-07-23T01:45:56Z</dcterms:modified>
</cp:coreProperties>
</file>