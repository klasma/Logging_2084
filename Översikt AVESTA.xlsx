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46311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46311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46311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41525-2026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46301</v>
      </c>
      <c r="E7" s="1" t="n">
        <v>46311</v>
      </c>
      <c r="F7" t="inlineStr">
        <is>
          <t>DALARNAS LÄN</t>
        </is>
      </c>
      <c r="G7" t="inlineStr">
        <is>
          <t>AVESTA</t>
        </is>
      </c>
      <c r="I7" t="n">
        <v>11.1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Motaggsvamp
Nordfladdermus
Spillkråka
Svartvit flugsnappare</t>
        </is>
      </c>
      <c r="W7">
        <f>HYPERLINK("https://klasma.github.io/Logging_2084/artfynd/A 41525-2026 artfynd.xlsx", "A 41525-2026")</f>
        <v/>
      </c>
      <c r="X7">
        <f>HYPERLINK("https://klasma.github.io/Logging_2084/kartor/A 41525-2026 karta.png", "A 41525-2026")</f>
        <v/>
      </c>
      <c r="Y7">
        <f>HYPERLINK("https://klasma.github.io/Logging_2084/kartor_geotiff/A 41525-2026 georefererad karta.tif", "A 41525-2026")</f>
        <v/>
      </c>
      <c r="AA7">
        <f>HYPERLINK("https://klasma.github.io/Logging_2084/klagomål/A 41525-2026 FSC-klagomål.docx", "A 41525-2026")</f>
        <v/>
      </c>
      <c r="AB7">
        <f>HYPERLINK("https://klasma.github.io/Logging_2084/klagomålsmail/A 41525-2026 FSC-klagomål mail.docx", "A 41525-2026")</f>
        <v/>
      </c>
      <c r="AC7">
        <f>HYPERLINK("https://klasma.github.io/Logging_2084/tillsyn/A 41525-2026 tillsynsbegäran.docx", "A 41525-2026")</f>
        <v/>
      </c>
      <c r="AD7">
        <f>HYPERLINK("https://klasma.github.io/Logging_2084/tillsynsmail/A 41525-2026 tillsynsbegäran mail.docx", "A 41525-2026")</f>
        <v/>
      </c>
      <c r="AE7">
        <f>HYPERLINK("https://klasma.github.io/Logging_2084/fåglar/A 41525-2026 prioriterade fågelarter.docx", "A 41525-2026")</f>
        <v/>
      </c>
    </row>
    <row r="8" ht="15" customHeight="1">
      <c r="A8" t="inlineStr">
        <is>
          <t>A 3419-2026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46311</v>
      </c>
      <c r="F8" t="inlineStr">
        <is>
          <t>DALARNAS LÄN</t>
        </is>
      </c>
      <c r="G8" t="inlineStr">
        <is>
          <t>AVESTA</t>
        </is>
      </c>
      <c r="I8" t="n">
        <v>5.4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14</v>
      </c>
      <c r="U8" t="n">
        <v>0</v>
      </c>
      <c r="V8" s="2" t="inlineStr">
        <is>
          <t>Knärot
Rynkskinn
Ullticka
Revlummer</t>
        </is>
      </c>
      <c r="W8">
        <f>HYPERLINK("https://klasma.github.io/Logging_2084/artfynd/A 3419-2026 artfynd.xlsx", "A 3419-2026")</f>
        <v/>
      </c>
      <c r="X8">
        <f>HYPERLINK("https://klasma.github.io/Logging_2084/kartor/A 3419-2026 karta.png", "A 3419-2026")</f>
        <v/>
      </c>
      <c r="Y8">
        <f>HYPERLINK("https://klasma.github.io/Logging_2084/kartor_geotiff/A 3419-2026 georefererad karta.tif", "A 3419-2026")</f>
        <v/>
      </c>
      <c r="Z8">
        <f>HYPERLINK("https://klasma.github.io/Logging_2084/knärot/A 3419-2026 karta knärot.png", "A 3419-2026")</f>
        <v/>
      </c>
      <c r="AA8">
        <f>HYPERLINK("https://klasma.github.io/Logging_2084/klagomål/A 3419-2026 FSC-klagomål.docx", "A 3419-2026")</f>
        <v/>
      </c>
      <c r="AB8">
        <f>HYPERLINK("https://klasma.github.io/Logging_2084/klagomålsmail/A 3419-2026 FSC-klagomål mail.docx", "A 3419-2026")</f>
        <v/>
      </c>
      <c r="AC8">
        <f>HYPERLINK("https://klasma.github.io/Logging_2084/tillsyn/A 3419-2026 tillsynsbegäran.docx", "A 3419-2026")</f>
        <v/>
      </c>
      <c r="AD8">
        <f>HYPERLINK("https://klasma.github.io/Logging_2084/tillsynsmail/A 3419-2026 tillsynsbegäran mail.docx", "A 3419-2026")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46311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46311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46311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46311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46311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46311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46311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46311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A 42684-2026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46309</v>
      </c>
      <c r="E17" s="1" t="n">
        <v>46311</v>
      </c>
      <c r="F17" t="inlineStr">
        <is>
          <t>DALARNAS LÄN</t>
        </is>
      </c>
      <c r="G17" t="inlineStr">
        <is>
          <t>AVESTA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Rävticka
Blåsippa</t>
        </is>
      </c>
      <c r="W17">
        <f>HYPERLINK("https://klasma.github.io/Logging_2084/artfynd/A 42684-2026 artfynd.xlsx", "A 42684-2026")</f>
        <v/>
      </c>
      <c r="X17">
        <f>HYPERLINK("https://klasma.github.io/Logging_2084/kartor/A 42684-2026 karta.png", "A 42684-2026")</f>
        <v/>
      </c>
      <c r="Y17">
        <f>HYPERLINK("https://klasma.github.io/Logging_2084/kartor_geotiff/A 42684-2026 georefererad karta.tif", "A 42684-2026")</f>
        <v/>
      </c>
      <c r="AA17">
        <f>HYPERLINK("https://klasma.github.io/Logging_2084/klagomål/A 42684-2026 FSC-klagomål.docx", "A 42684-2026")</f>
        <v/>
      </c>
      <c r="AB17">
        <f>HYPERLINK("https://klasma.github.io/Logging_2084/klagomålsmail/A 42684-2026 FSC-klagomål mail.docx", "A 42684-2026")</f>
        <v/>
      </c>
      <c r="AC17">
        <f>HYPERLINK("https://klasma.github.io/Logging_2084/tillsyn/A 42684-2026 tillsynsbegäran.docx", "A 42684-2026")</f>
        <v/>
      </c>
      <c r="AD17">
        <f>HYPERLINK("https://klasma.github.io/Logging_2084/tillsynsmail/A 42684-2026 tillsynsbegäran mail.docx", "A 42684-2026")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46311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46311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25882-2025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46311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HYPERLINK("https://klasma.github.io/Logging_2084/artfynd/A 25882-2025 artfynd.xlsx", "A 25882-2025")</f>
        <v/>
      </c>
      <c r="X20">
        <f>HYPERLINK("https://klasma.github.io/Logging_2084/kartor/A 25882-2025 karta.png", "A 25882-2025")</f>
        <v/>
      </c>
      <c r="Y20">
        <f>HYPERLINK("https://klasma.github.io/Logging_2084/kartor_geotiff/A 25882-2025 georefererad karta.tif", "A 25882-2025")</f>
        <v/>
      </c>
      <c r="AA20">
        <f>HYPERLINK("https://klasma.github.io/Logging_2084/klagomål/A 25882-2025 FSC-klagomål.docx", "A 25882-2025")</f>
        <v/>
      </c>
      <c r="AB20">
        <f>HYPERLINK("https://klasma.github.io/Logging_2084/klagomålsmail/A 25882-2025 FSC-klagomål mail.docx", "A 25882-2025")</f>
        <v/>
      </c>
      <c r="AC20">
        <f>HYPERLINK("https://klasma.github.io/Logging_2084/tillsyn/A 25882-2025 tillsynsbegäran.docx", "A 25882-2025")</f>
        <v/>
      </c>
      <c r="AD20">
        <f>HYPERLINK("https://klasma.github.io/Logging_2084/tillsynsmail/A 25882-2025 tillsynsbegäran mail.docx", "A 25882-2025")</f>
        <v/>
      </c>
      <c r="AE20">
        <f>HYPERLINK("https://klasma.github.io/Logging_2084/fåglar/A 25882-2025 prioriterade fågelarter.docx", "A 25882-2025")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46311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46311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46311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46311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46311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43508-2024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45569</v>
      </c>
      <c r="E26" s="1" t="n">
        <v>46311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HYPERLINK("https://klasma.github.io/Logging_2084/artfynd/A 43508-2024 artfynd.xlsx", "A 43508-2024")</f>
        <v/>
      </c>
      <c r="X26">
        <f>HYPERLINK("https://klasma.github.io/Logging_2084/kartor/A 43508-2024 karta.png", "A 43508-2024")</f>
        <v/>
      </c>
      <c r="Y26">
        <f>HYPERLINK("https://klasma.github.io/Logging_2084/kartor_geotiff/A 43508-2024 georefererad karta.tif", "A 43508-2024")</f>
        <v/>
      </c>
      <c r="AA26">
        <f>HYPERLINK("https://klasma.github.io/Logging_2084/klagomål/A 43508-2024 FSC-klagomål.docx", "A 43508-2024")</f>
        <v/>
      </c>
      <c r="AB26">
        <f>HYPERLINK("https://klasma.github.io/Logging_2084/klagomålsmail/A 43508-2024 FSC-klagomål mail.docx", "A 43508-2024")</f>
        <v/>
      </c>
      <c r="AC26">
        <f>HYPERLINK("https://klasma.github.io/Logging_2084/tillsyn/A 43508-2024 tillsynsbegäran.docx", "A 43508-2024")</f>
        <v/>
      </c>
      <c r="AD26">
        <f>HYPERLINK("https://klasma.github.io/Logging_2084/tillsynsmail/A 43508-2024 tillsynsbegäran mail.docx", "A 43508-2024")</f>
        <v/>
      </c>
    </row>
    <row r="27" ht="15" customHeight="1">
      <c r="A27" t="inlineStr">
        <is>
          <t>A 44853-2023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46311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Knytlingsäckmal</t>
        </is>
      </c>
      <c r="W27">
        <f>HYPERLINK("https://klasma.github.io/Logging_2084/artfynd/A 44853-2023 artfynd.xlsx", "A 44853-2023")</f>
        <v/>
      </c>
      <c r="X27">
        <f>HYPERLINK("https://klasma.github.io/Logging_2084/kartor/A 44853-2023 karta.png", "A 44853-2023")</f>
        <v/>
      </c>
      <c r="Y27">
        <f>HYPERLINK("https://klasma.github.io/Logging_2084/kartor_geotiff/A 44853-2023 georefererad karta.tif", "A 44853-2023")</f>
        <v/>
      </c>
      <c r="AA27">
        <f>HYPERLINK("https://klasma.github.io/Logging_2084/klagomål/A 44853-2023 FSC-klagomål.docx", "A 44853-2023")</f>
        <v/>
      </c>
      <c r="AB27">
        <f>HYPERLINK("https://klasma.github.io/Logging_2084/klagomålsmail/A 44853-2023 FSC-klagomål mail.docx", "A 44853-2023")</f>
        <v/>
      </c>
      <c r="AC27">
        <f>HYPERLINK("https://klasma.github.io/Logging_2084/tillsyn/A 44853-2023 tillsynsbegäran.docx", "A 44853-2023")</f>
        <v/>
      </c>
      <c r="AD27">
        <f>HYPERLINK("https://klasma.github.io/Logging_2084/tillsynsmail/A 44853-2023 tillsynsbegäran mail.docx", "A 44853-2023")</f>
        <v/>
      </c>
    </row>
    <row r="28" ht="15" customHeight="1">
      <c r="A28" t="inlineStr">
        <is>
          <t>A 56571-2023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46311</v>
      </c>
      <c r="F28" t="inlineStr">
        <is>
          <t>DALARNAS LÄN</t>
        </is>
      </c>
      <c r="G28" t="inlineStr">
        <is>
          <t>AVESTA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Gråblå skinnlav</t>
        </is>
      </c>
      <c r="W28">
        <f>HYPERLINK("https://klasma.github.io/Logging_2084/artfynd/A 56571-2023 artfynd.xlsx", "A 56571-2023")</f>
        <v/>
      </c>
      <c r="X28">
        <f>HYPERLINK("https://klasma.github.io/Logging_2084/kartor/A 56571-2023 karta.png", "A 56571-2023")</f>
        <v/>
      </c>
      <c r="Y28">
        <f>HYPERLINK("https://klasma.github.io/Logging_2084/kartor_geotiff/A 56571-2023 georefererad karta.tif", "A 56571-2023")</f>
        <v/>
      </c>
      <c r="AA28">
        <f>HYPERLINK("https://klasma.github.io/Logging_2084/klagomål/A 56571-2023 FSC-klagomål.docx", "A 56571-2023")</f>
        <v/>
      </c>
      <c r="AB28">
        <f>HYPERLINK("https://klasma.github.io/Logging_2084/klagomålsmail/A 56571-2023 FSC-klagomål mail.docx", "A 56571-2023")</f>
        <v/>
      </c>
      <c r="AC28">
        <f>HYPERLINK("https://klasma.github.io/Logging_2084/tillsyn/A 56571-2023 tillsynsbegäran.docx", "A 56571-2023")</f>
        <v/>
      </c>
      <c r="AD28">
        <f>HYPERLINK("https://klasma.github.io/Logging_2084/tillsynsmail/A 56571-2023 tillsynsbegäran mail.docx", "A 56571-2023")</f>
        <v/>
      </c>
    </row>
    <row r="29" ht="15" customHeight="1">
      <c r="A29" t="inlineStr">
        <is>
          <t>A 1695-2022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44574</v>
      </c>
      <c r="E29" s="1" t="n">
        <v>46311</v>
      </c>
      <c r="F29" t="inlineStr">
        <is>
          <t>DALARNAS LÄN</t>
        </is>
      </c>
      <c r="G29" t="inlineStr">
        <is>
          <t>AVESTA</t>
        </is>
      </c>
      <c r="I29" t="n">
        <v>6.5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27</v>
      </c>
      <c r="U29" t="n">
        <v>27</v>
      </c>
      <c r="V29" s="2" t="inlineStr">
        <is>
          <t>Knärot</t>
        </is>
      </c>
      <c r="W29">
        <f>HYPERLINK("https://klasma.github.io/Logging_2084/artfynd/A 1695-2022 artfynd.xlsx", "A 1695-2022")</f>
        <v/>
      </c>
      <c r="X29">
        <f>HYPERLINK("https://klasma.github.io/Logging_2084/kartor/A 1695-2022 karta.png", "A 1695-2022")</f>
        <v/>
      </c>
      <c r="Y29">
        <f>HYPERLINK("https://klasma.github.io/Logging_2084/kartor_geotiff/A 1695-2022 georefererad karta.tif", "A 1695-2022")</f>
        <v/>
      </c>
      <c r="Z29">
        <f>HYPERLINK("https://klasma.github.io/Logging_2084/knärot/A 1695-2022 karta knärot.png", "A 1695-2022")</f>
        <v/>
      </c>
      <c r="AA29">
        <f>HYPERLINK("https://klasma.github.io/Logging_2084/klagomål/A 1695-2022 FSC-klagomål.docx", "A 1695-2022")</f>
        <v/>
      </c>
      <c r="AB29">
        <f>HYPERLINK("https://klasma.github.io/Logging_2084/klagomålsmail/A 1695-2022 FSC-klagomål mail.docx", "A 1695-2022")</f>
        <v/>
      </c>
      <c r="AC29">
        <f>HYPERLINK("https://klasma.github.io/Logging_2084/tillsyn/A 1695-2022 tillsynsbegäran.docx", "A 1695-2022")</f>
        <v/>
      </c>
      <c r="AD29">
        <f>HYPERLINK("https://klasma.github.io/Logging_2084/tillsynsmail/A 1695-2022 tillsynsbegäran mail.docx", "A 1695-2022")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46311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26787-2026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46183</v>
      </c>
      <c r="E31" s="1" t="n">
        <v>46311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26787-2026 artfynd.xlsx", "A 26787-2026")</f>
        <v/>
      </c>
      <c r="X31">
        <f>HYPERLINK("https://klasma.github.io/Logging_2084/kartor/A 26787-2026 karta.png", "A 26787-2026")</f>
        <v/>
      </c>
      <c r="Y31">
        <f>HYPERLINK("https://klasma.github.io/Logging_2084/kartor_geotiff/A 26787-2026 georefererad karta.tif", "A 26787-2026")</f>
        <v/>
      </c>
      <c r="AA31">
        <f>HYPERLINK("https://klasma.github.io/Logging_2084/klagomål/A 26787-2026 FSC-klagomål.docx", "A 26787-2026")</f>
        <v/>
      </c>
      <c r="AB31">
        <f>HYPERLINK("https://klasma.github.io/Logging_2084/klagomålsmail/A 26787-2026 FSC-klagomål mail.docx", "A 26787-2026")</f>
        <v/>
      </c>
      <c r="AC31">
        <f>HYPERLINK("https://klasma.github.io/Logging_2084/tillsyn/A 26787-2026 tillsynsbegäran.docx", "A 26787-2026")</f>
        <v/>
      </c>
      <c r="AD31">
        <f>HYPERLINK("https://klasma.github.io/Logging_2084/tillsynsmail/A 26787-2026 tillsynsbegäran mail.docx", "A 26787-2026")</f>
        <v/>
      </c>
    </row>
    <row r="32" ht="15" customHeight="1">
      <c r="A32" t="inlineStr">
        <is>
          <t>A 21412-2023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45058</v>
      </c>
      <c r="E32" s="1" t="n">
        <v>46311</v>
      </c>
      <c r="F32" t="inlineStr">
        <is>
          <t>DALARNAS LÄN</t>
        </is>
      </c>
      <c r="G32" t="inlineStr">
        <is>
          <t>AVESTA</t>
        </is>
      </c>
      <c r="H32" t="inlineStr">
        <is>
          <t>Bergvik skog väst AB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Nattviol</t>
        </is>
      </c>
      <c r="W32">
        <f>HYPERLINK("https://klasma.github.io/Logging_2084/artfynd/A 21412-2023 artfynd.xlsx", "A 21412-2023")</f>
        <v/>
      </c>
      <c r="X32">
        <f>HYPERLINK("https://klasma.github.io/Logging_2084/kartor/A 21412-2023 karta.png", "A 21412-2023")</f>
        <v/>
      </c>
      <c r="Y32">
        <f>HYPERLINK("https://klasma.github.io/Logging_2084/kartor_geotiff/A 21412-2023 georefererad karta.tif", "A 21412-2023")</f>
        <v/>
      </c>
      <c r="AA32">
        <f>HYPERLINK("https://klasma.github.io/Logging_2084/klagomål/A 21412-2023 FSC-klagomål.docx", "A 21412-2023")</f>
        <v/>
      </c>
      <c r="AB32">
        <f>HYPERLINK("https://klasma.github.io/Logging_2084/klagomålsmail/A 21412-2023 FSC-klagomål mail.docx", "A 21412-2023")</f>
        <v/>
      </c>
      <c r="AC32">
        <f>HYPERLINK("https://klasma.github.io/Logging_2084/tillsyn/A 21412-2023 tillsynsbegäran.docx", "A 21412-2023")</f>
        <v/>
      </c>
      <c r="AD32">
        <f>HYPERLINK("https://klasma.github.io/Logging_2084/tillsynsmail/A 21412-2023 tillsynsbegäran mail.docx", "A 21412-2023")</f>
        <v/>
      </c>
    </row>
    <row r="33" ht="15" customHeight="1">
      <c r="A33" t="inlineStr">
        <is>
          <t>A 13553-2025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46311</v>
      </c>
      <c r="F33" t="inlineStr">
        <is>
          <t>DALARNAS LÄN</t>
        </is>
      </c>
      <c r="G33" t="inlineStr">
        <is>
          <t>AVESTA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Svinrot</t>
        </is>
      </c>
      <c r="W33">
        <f>HYPERLINK("https://klasma.github.io/Logging_2084/artfynd/A 13553-2025 artfynd.xlsx", "A 13553-2025")</f>
        <v/>
      </c>
      <c r="X33">
        <f>HYPERLINK("https://klasma.github.io/Logging_2084/kartor/A 13553-2025 karta.png", "A 13553-2025")</f>
        <v/>
      </c>
      <c r="Y33">
        <f>HYPERLINK("https://klasma.github.io/Logging_2084/kartor_geotiff/A 13553-2025 georefererad karta.tif", "A 13553-2025")</f>
        <v/>
      </c>
      <c r="AA33">
        <f>HYPERLINK("https://klasma.github.io/Logging_2084/klagomål/A 13553-2025 FSC-klagomål.docx", "A 13553-2025")</f>
        <v/>
      </c>
      <c r="AB33">
        <f>HYPERLINK("https://klasma.github.io/Logging_2084/klagomålsmail/A 13553-2025 FSC-klagomål mail.docx", "A 13553-2025")</f>
        <v/>
      </c>
      <c r="AC33">
        <f>HYPERLINK("https://klasma.github.io/Logging_2084/tillsyn/A 13553-2025 tillsynsbegäran.docx", "A 13553-2025")</f>
        <v/>
      </c>
      <c r="AD33">
        <f>HYPERLINK("https://klasma.github.io/Logging_2084/tillsynsmail/A 13553-2025 tillsynsbegäran mail.docx", "A 13553-2025")</f>
        <v/>
      </c>
    </row>
    <row r="34" ht="15" customHeight="1">
      <c r="A34" t="inlineStr">
        <is>
          <t>A 39253-2025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45889</v>
      </c>
      <c r="E34" s="1" t="n">
        <v>46311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10.2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Nordfladdermus</t>
        </is>
      </c>
      <c r="W34">
        <f>HYPERLINK("https://klasma.github.io/Logging_2084/artfynd/A 39253-2025 artfynd.xlsx", "A 39253-2025")</f>
        <v/>
      </c>
      <c r="X34">
        <f>HYPERLINK("https://klasma.github.io/Logging_2084/kartor/A 39253-2025 karta.png", "A 39253-2025")</f>
        <v/>
      </c>
      <c r="Y34">
        <f>HYPERLINK("https://klasma.github.io/Logging_2084/kartor_geotiff/A 39253-2025 georefererad karta.tif", "A 39253-2025")</f>
        <v/>
      </c>
      <c r="AA34">
        <f>HYPERLINK("https://klasma.github.io/Logging_2084/klagomål/A 39253-2025 FSC-klagomål.docx", "A 39253-2025")</f>
        <v/>
      </c>
      <c r="AB34">
        <f>HYPERLINK("https://klasma.github.io/Logging_2084/klagomålsmail/A 39253-2025 FSC-klagomål mail.docx", "A 39253-2025")</f>
        <v/>
      </c>
      <c r="AC34">
        <f>HYPERLINK("https://klasma.github.io/Logging_2084/tillsyn/A 39253-2025 tillsynsbegäran.docx", "A 39253-2025")</f>
        <v/>
      </c>
      <c r="AD34">
        <f>HYPERLINK("https://klasma.github.io/Logging_2084/tillsynsmail/A 39253-2025 tillsynsbegäran mail.docx", "A 39253-2025")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46311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A 32927-2026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46311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HYPERLINK("https://klasma.github.io/Logging_2084/artfynd/A 32927-2026 artfynd.xlsx", "A 32927-2026")</f>
        <v/>
      </c>
      <c r="X36">
        <f>HYPERLINK("https://klasma.github.io/Logging_2084/kartor/A 32927-2026 karta.png", "A 32927-2026")</f>
        <v/>
      </c>
      <c r="Y36">
        <f>HYPERLINK("https://klasma.github.io/Logging_2084/kartor_geotiff/A 32927-2026 georefererad karta.tif", "A 32927-2026")</f>
        <v/>
      </c>
      <c r="AA36">
        <f>HYPERLINK("https://klasma.github.io/Logging_2084/klagomål/A 32927-2026 FSC-klagomål.docx", "A 32927-2026")</f>
        <v/>
      </c>
      <c r="AB36">
        <f>HYPERLINK("https://klasma.github.io/Logging_2084/klagomålsmail/A 32927-2026 FSC-klagomål mail.docx", "A 32927-2026")</f>
        <v/>
      </c>
      <c r="AC36">
        <f>HYPERLINK("https://klasma.github.io/Logging_2084/tillsyn/A 32927-2026 tillsynsbegäran.docx", "A 32927-2026")</f>
        <v/>
      </c>
      <c r="AD36">
        <f>HYPERLINK("https://klasma.github.io/Logging_2084/tillsynsmail/A 32927-2026 tillsynsbegäran mail.docx", "A 32927-2026")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46311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A 56786-2024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46311</v>
      </c>
      <c r="F38" t="inlineStr">
        <is>
          <t>DALARNAS LÄN</t>
        </is>
      </c>
      <c r="G38" t="inlineStr">
        <is>
          <t>AVESTA</t>
        </is>
      </c>
      <c r="I38" t="n">
        <v>4.7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Knärot</t>
        </is>
      </c>
      <c r="W38">
        <f>HYPERLINK("https://klasma.github.io/Logging_2084/artfynd/A 56786-2024 artfynd.xlsx", "A 56786-2024")</f>
        <v/>
      </c>
      <c r="X38">
        <f>HYPERLINK("https://klasma.github.io/Logging_2084/kartor/A 56786-2024 karta.png", "A 56786-2024")</f>
        <v/>
      </c>
      <c r="Y38">
        <f>HYPERLINK("https://klasma.github.io/Logging_2084/kartor_geotiff/A 56786-2024 georefererad karta.tif", "A 56786-2024")</f>
        <v/>
      </c>
      <c r="Z38">
        <f>HYPERLINK("https://klasma.github.io/Logging_2084/knärot/A 56786-2024 karta knärot.png", "A 56786-2024")</f>
        <v/>
      </c>
      <c r="AA38">
        <f>HYPERLINK("https://klasma.github.io/Logging_2084/klagomål/A 56786-2024 FSC-klagomål.docx", "A 56786-2024")</f>
        <v/>
      </c>
      <c r="AB38">
        <f>HYPERLINK("https://klasma.github.io/Logging_2084/klagomålsmail/A 56786-2024 FSC-klagomål mail.docx", "A 56786-2024")</f>
        <v/>
      </c>
      <c r="AC38">
        <f>HYPERLINK("https://klasma.github.io/Logging_2084/tillsyn/A 56786-2024 tillsynsbegäran.docx", "A 56786-2024")</f>
        <v/>
      </c>
      <c r="AD38">
        <f>HYPERLINK("https://klasma.github.io/Logging_2084/tillsynsmail/A 56786-2024 tillsynsbegäran mail.docx", "A 56786-2024")</f>
        <v/>
      </c>
    </row>
    <row r="39" ht="15" customHeight="1">
      <c r="A39" t="inlineStr">
        <is>
          <t>A 60446-2025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45995</v>
      </c>
      <c r="E39" s="1" t="n">
        <v>46311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HYPERLINK("https://klasma.github.io/Logging_2084/artfynd/A 60446-2025 artfynd.xlsx", "A 60446-2025")</f>
        <v/>
      </c>
      <c r="X39">
        <f>HYPERLINK("https://klasma.github.io/Logging_2084/kartor/A 60446-2025 karta.png", "A 60446-2025")</f>
        <v/>
      </c>
      <c r="Y39">
        <f>HYPERLINK("https://klasma.github.io/Logging_2084/kartor_geotiff/A 60446-2025 georefererad karta.tif", "A 60446-2025")</f>
        <v/>
      </c>
      <c r="AA39">
        <f>HYPERLINK("https://klasma.github.io/Logging_2084/klagomål/A 60446-2025 FSC-klagomål.docx", "A 60446-2025")</f>
        <v/>
      </c>
      <c r="AB39">
        <f>HYPERLINK("https://klasma.github.io/Logging_2084/klagomålsmail/A 60446-2025 FSC-klagomål mail.docx", "A 60446-2025")</f>
        <v/>
      </c>
      <c r="AC39">
        <f>HYPERLINK("https://klasma.github.io/Logging_2084/tillsyn/A 60446-2025 tillsynsbegäran.docx", "A 60446-2025")</f>
        <v/>
      </c>
      <c r="AD39">
        <f>HYPERLINK("https://klasma.github.io/Logging_2084/tillsynsmail/A 60446-2025 tillsynsbegäran mail.docx", "A 60446-2025")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46311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46311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46311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46311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46311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46311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46311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46311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46311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46311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46311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46311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45196</v>
      </c>
      <c r="E52" s="1" t="n">
        <v>46311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46311</v>
      </c>
      <c r="F53" t="inlineStr">
        <is>
          <t>DALARNAS LÄN</t>
        </is>
      </c>
      <c r="G53" t="inlineStr">
        <is>
          <t>AVESTA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24834-2025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45799</v>
      </c>
      <c r="E54" s="1" t="n">
        <v>46311</v>
      </c>
      <c r="F54" t="inlineStr">
        <is>
          <t>DALARNAS LÄN</t>
        </is>
      </c>
      <c r="G54" t="inlineStr">
        <is>
          <t>AVESTA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46311</v>
      </c>
      <c r="F55" t="inlineStr">
        <is>
          <t>DALARNAS LÄN</t>
        </is>
      </c>
      <c r="G55" t="inlineStr">
        <is>
          <t>AVESTA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24867-2025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46311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46311</v>
      </c>
      <c r="F57" t="inlineStr">
        <is>
          <t>DALARNAS LÄN</t>
        </is>
      </c>
      <c r="G57" t="inlineStr">
        <is>
          <t>AVESTA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24845-2025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46311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25646-2025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45803</v>
      </c>
      <c r="E59" s="1" t="n">
        <v>46311</v>
      </c>
      <c r="F59" t="inlineStr">
        <is>
          <t>DALARNAS LÄN</t>
        </is>
      </c>
      <c r="G59" t="inlineStr">
        <is>
          <t>AVESTA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46311</v>
      </c>
      <c r="F60" t="inlineStr">
        <is>
          <t>DALARNAS LÄN</t>
        </is>
      </c>
      <c r="G60" t="inlineStr">
        <is>
          <t>AVESTA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25658-2025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45803</v>
      </c>
      <c r="E61" s="1" t="n">
        <v>46311</v>
      </c>
      <c r="F61" t="inlineStr">
        <is>
          <t>DALARNAS LÄN</t>
        </is>
      </c>
      <c r="G61" t="inlineStr">
        <is>
          <t>AVESTA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46311</v>
      </c>
      <c r="F62" t="inlineStr">
        <is>
          <t>DALARNAS LÄN</t>
        </is>
      </c>
      <c r="G62" t="inlineStr">
        <is>
          <t>AVESTA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16522-2025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45751</v>
      </c>
      <c r="E63" s="1" t="n">
        <v>46311</v>
      </c>
      <c r="F63" t="inlineStr">
        <is>
          <t>DALARNAS LÄN</t>
        </is>
      </c>
      <c r="G63" t="inlineStr">
        <is>
          <t>AVESTA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55549-2023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46311</v>
      </c>
      <c r="F64" t="inlineStr">
        <is>
          <t>DALARNAS LÄN</t>
        </is>
      </c>
      <c r="G64" t="inlineStr">
        <is>
          <t>AVESTA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45267</v>
      </c>
      <c r="E65" s="1" t="n">
        <v>46311</v>
      </c>
      <c r="F65" t="inlineStr">
        <is>
          <t>DALARNAS LÄN</t>
        </is>
      </c>
      <c r="G65" t="inlineStr">
        <is>
          <t>AVESTA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10078-2025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46311</v>
      </c>
      <c r="F66" t="inlineStr">
        <is>
          <t>DALARNAS LÄN</t>
        </is>
      </c>
      <c r="G66" t="inlineStr">
        <is>
          <t>AVESTA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46311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30862-2024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45497</v>
      </c>
      <c r="E68" s="1" t="n">
        <v>46311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45884</v>
      </c>
      <c r="E69" s="1" t="n">
        <v>46311</v>
      </c>
      <c r="F69" t="inlineStr">
        <is>
          <t>DALARNAS LÄN</t>
        </is>
      </c>
      <c r="G69" t="inlineStr">
        <is>
          <t>AVESTA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45492</v>
      </c>
      <c r="E70" s="1" t="n">
        <v>46311</v>
      </c>
      <c r="F70" t="inlineStr">
        <is>
          <t>DALARNAS LÄN</t>
        </is>
      </c>
      <c r="G70" t="inlineStr">
        <is>
          <t>AVESTA</t>
        </is>
      </c>
      <c r="H70" t="inlineStr">
        <is>
          <t>Sveaskog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46311</v>
      </c>
      <c r="F71" t="inlineStr">
        <is>
          <t>DALARNAS LÄN</t>
        </is>
      </c>
      <c r="G71" t="inlineStr">
        <is>
          <t>AVESTA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45009</v>
      </c>
      <c r="E72" s="1" t="n">
        <v>46311</v>
      </c>
      <c r="F72" t="inlineStr">
        <is>
          <t>DALARNAS LÄN</t>
        </is>
      </c>
      <c r="G72" t="inlineStr">
        <is>
          <t>AVESTA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46311</v>
      </c>
      <c r="F73" t="inlineStr">
        <is>
          <t>DALARNAS LÄN</t>
        </is>
      </c>
      <c r="G73" t="inlineStr">
        <is>
          <t>AVESTA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50900-2022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46311</v>
      </c>
      <c r="F74" t="inlineStr">
        <is>
          <t>DALARNAS LÄN</t>
        </is>
      </c>
      <c r="G74" t="inlineStr">
        <is>
          <t>AVESTA</t>
        </is>
      </c>
      <c r="I74" t="n">
        <v>14.8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46311</v>
      </c>
      <c r="F75" t="inlineStr">
        <is>
          <t>DALARNAS LÄN</t>
        </is>
      </c>
      <c r="G75" t="inlineStr">
        <is>
          <t>AVESTA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45721</v>
      </c>
      <c r="E76" s="1" t="n">
        <v>46311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34190-2023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45138</v>
      </c>
      <c r="E77" s="1" t="n">
        <v>46311</v>
      </c>
      <c r="F77" t="inlineStr">
        <is>
          <t>DALARNAS LÄN</t>
        </is>
      </c>
      <c r="G77" t="inlineStr">
        <is>
          <t>AVESTA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46311</v>
      </c>
      <c r="F78" t="inlineStr">
        <is>
          <t>DALARNAS LÄN</t>
        </is>
      </c>
      <c r="G78" t="inlineStr">
        <is>
          <t>AVESTA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46311</v>
      </c>
      <c r="F79" t="inlineStr">
        <is>
          <t>DALARNAS LÄN</t>
        </is>
      </c>
      <c r="G79" t="inlineStr">
        <is>
          <t>AVESTA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10784-2024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46311</v>
      </c>
      <c r="F80" t="inlineStr">
        <is>
          <t>DALARNAS LÄN</t>
        </is>
      </c>
      <c r="G80" t="inlineStr">
        <is>
          <t>AVESTA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53119-2022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44876</v>
      </c>
      <c r="E81" s="1" t="n">
        <v>46311</v>
      </c>
      <c r="F81" t="inlineStr">
        <is>
          <t>DALARNAS LÄN</t>
        </is>
      </c>
      <c r="G81" t="inlineStr">
        <is>
          <t>AVESTA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46311</v>
      </c>
      <c r="F82" t="inlineStr">
        <is>
          <t>DALARNAS LÄN</t>
        </is>
      </c>
      <c r="G82" t="inlineStr">
        <is>
          <t>AVESTA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44684</v>
      </c>
      <c r="E83" s="1" t="n">
        <v>46311</v>
      </c>
      <c r="F83" t="inlineStr">
        <is>
          <t>DALARNAS LÄN</t>
        </is>
      </c>
      <c r="G83" t="inlineStr">
        <is>
          <t>AVESTA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45441</v>
      </c>
      <c r="E84" s="1" t="n">
        <v>46311</v>
      </c>
      <c r="F84" t="inlineStr">
        <is>
          <t>DALARNAS LÄN</t>
        </is>
      </c>
      <c r="G84" t="inlineStr">
        <is>
          <t>AVESTA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45447</v>
      </c>
      <c r="E85" s="1" t="n">
        <v>46311</v>
      </c>
      <c r="F85" t="inlineStr">
        <is>
          <t>DALARNAS LÄN</t>
        </is>
      </c>
      <c r="G85" t="inlineStr">
        <is>
          <t>AVESTA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27344-2024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45473</v>
      </c>
      <c r="E86" s="1" t="n">
        <v>46311</v>
      </c>
      <c r="F86" t="inlineStr">
        <is>
          <t>DALARNAS LÄN</t>
        </is>
      </c>
      <c r="G86" t="inlineStr">
        <is>
          <t>AVESTA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45549</v>
      </c>
      <c r="E87" s="1" t="n">
        <v>46311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58094-2022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46311</v>
      </c>
      <c r="F88" t="inlineStr">
        <is>
          <t>DALARNAS LÄN</t>
        </is>
      </c>
      <c r="G88" t="inlineStr">
        <is>
          <t>AVESTA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23500-2024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46311</v>
      </c>
      <c r="F89" t="inlineStr">
        <is>
          <t>DALARNAS LÄN</t>
        </is>
      </c>
      <c r="G89" t="inlineStr">
        <is>
          <t>AVESTA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45408</v>
      </c>
      <c r="E90" s="1" t="n">
        <v>46311</v>
      </c>
      <c r="F90" t="inlineStr">
        <is>
          <t>DALARNAS LÄN</t>
        </is>
      </c>
      <c r="G90" t="inlineStr">
        <is>
          <t>AVESTA</t>
        </is>
      </c>
      <c r="H90" t="inlineStr">
        <is>
          <t>Bergvik skog väst AB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46311</v>
      </c>
      <c r="F91" t="inlineStr">
        <is>
          <t>DALARNAS LÄN</t>
        </is>
      </c>
      <c r="G91" t="inlineStr">
        <is>
          <t>AVESTA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46311</v>
      </c>
      <c r="F92" t="inlineStr">
        <is>
          <t>DALARNAS LÄN</t>
        </is>
      </c>
      <c r="G92" t="inlineStr">
        <is>
          <t>AVESTA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45514</v>
      </c>
      <c r="E93" s="1" t="n">
        <v>46311</v>
      </c>
      <c r="F93" t="inlineStr">
        <is>
          <t>DALARNAS LÄN</t>
        </is>
      </c>
      <c r="G93" t="inlineStr">
        <is>
          <t>AVESTA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56464-2022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44893</v>
      </c>
      <c r="E94" s="1" t="n">
        <v>46311</v>
      </c>
      <c r="F94" t="inlineStr">
        <is>
          <t>DALARNAS LÄN</t>
        </is>
      </c>
      <c r="G94" t="inlineStr">
        <is>
          <t>AVESTA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46311</v>
      </c>
      <c r="F95" t="inlineStr">
        <is>
          <t>DALARNAS LÄN</t>
        </is>
      </c>
      <c r="G95" t="inlineStr">
        <is>
          <t>AVESTA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13922-2022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46311</v>
      </c>
      <c r="F96" t="inlineStr">
        <is>
          <t>DALARNAS LÄN</t>
        </is>
      </c>
      <c r="G96" t="inlineStr">
        <is>
          <t>AVESTA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44474-2022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46311</v>
      </c>
      <c r="F97" t="inlineStr">
        <is>
          <t>DALARNAS LÄN</t>
        </is>
      </c>
      <c r="G97" t="inlineStr">
        <is>
          <t>AVESTA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15361-2023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45019</v>
      </c>
      <c r="E98" s="1" t="n">
        <v>46311</v>
      </c>
      <c r="F98" t="inlineStr">
        <is>
          <t>DALARNAS LÄN</t>
        </is>
      </c>
      <c r="G98" t="inlineStr">
        <is>
          <t>AVESTA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44980</v>
      </c>
      <c r="E99" s="1" t="n">
        <v>46311</v>
      </c>
      <c r="F99" t="inlineStr">
        <is>
          <t>DALARNAS LÄN</t>
        </is>
      </c>
      <c r="G99" t="inlineStr">
        <is>
          <t>AVESTA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45863</v>
      </c>
      <c r="E100" s="1" t="n">
        <v>46311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36003-2025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45863</v>
      </c>
      <c r="E101" s="1" t="n">
        <v>46311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36005-2025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45863</v>
      </c>
      <c r="E102" s="1" t="n">
        <v>46311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36178-2025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45867</v>
      </c>
      <c r="E103" s="1" t="n">
        <v>46311</v>
      </c>
      <c r="F103" t="inlineStr">
        <is>
          <t>DALARNAS LÄN</t>
        </is>
      </c>
      <c r="G103" t="inlineStr">
        <is>
          <t>AVESTA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46311</v>
      </c>
      <c r="F104" t="inlineStr">
        <is>
          <t>DALARNAS LÄN</t>
        </is>
      </c>
      <c r="G104" t="inlineStr">
        <is>
          <t>AVESTA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44471-2024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46311</v>
      </c>
      <c r="F105" t="inlineStr">
        <is>
          <t>DALARNAS LÄN</t>
        </is>
      </c>
      <c r="G105" t="inlineStr">
        <is>
          <t>AVESTA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45496</v>
      </c>
      <c r="E106" s="1" t="n">
        <v>46311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30738-2024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45496</v>
      </c>
      <c r="E107" s="1" t="n">
        <v>46311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9403-2022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44616</v>
      </c>
      <c r="E108" s="1" t="n">
        <v>46311</v>
      </c>
      <c r="F108" t="inlineStr">
        <is>
          <t>DALARNAS LÄN</t>
        </is>
      </c>
      <c r="G108" t="inlineStr">
        <is>
          <t>AVESTA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45269</v>
      </c>
      <c r="E109" s="1" t="n">
        <v>46311</v>
      </c>
      <c r="F109" t="inlineStr">
        <is>
          <t>DALARNAS LÄN</t>
        </is>
      </c>
      <c r="G109" t="inlineStr">
        <is>
          <t>AVESTA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31389-2024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45505</v>
      </c>
      <c r="E110" s="1" t="n">
        <v>46311</v>
      </c>
      <c r="F110" t="inlineStr">
        <is>
          <t>DALARNAS LÄN</t>
        </is>
      </c>
      <c r="G110" t="inlineStr">
        <is>
          <t>AVESTA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46311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46311</v>
      </c>
      <c r="F112" t="inlineStr">
        <is>
          <t>DALARNAS LÄN</t>
        </is>
      </c>
      <c r="G112" t="inlineStr">
        <is>
          <t>AVESTA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18197-2023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46311</v>
      </c>
      <c r="F113" t="inlineStr">
        <is>
          <t>DALARNAS LÄN</t>
        </is>
      </c>
      <c r="G113" t="inlineStr">
        <is>
          <t>AVESTA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44963</v>
      </c>
      <c r="E114" s="1" t="n">
        <v>46311</v>
      </c>
      <c r="F114" t="inlineStr">
        <is>
          <t>DALARNAS LÄN</t>
        </is>
      </c>
      <c r="G114" t="inlineStr">
        <is>
          <t>AVESTA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46311</v>
      </c>
      <c r="F115" t="inlineStr">
        <is>
          <t>DALARNAS LÄN</t>
        </is>
      </c>
      <c r="G115" t="inlineStr">
        <is>
          <t>AVESTA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46311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46311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46311</v>
      </c>
      <c r="F118" t="inlineStr">
        <is>
          <t>DALARNAS LÄN</t>
        </is>
      </c>
      <c r="G118" t="inlineStr">
        <is>
          <t>AVESTA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45138</v>
      </c>
      <c r="E119" s="1" t="n">
        <v>46311</v>
      </c>
      <c r="F119" t="inlineStr">
        <is>
          <t>DALARNAS LÄN</t>
        </is>
      </c>
      <c r="G119" t="inlineStr">
        <is>
          <t>AVESTA</t>
        </is>
      </c>
      <c r="I119" t="n">
        <v>8.5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44581</v>
      </c>
      <c r="E120" s="1" t="n">
        <v>46311</v>
      </c>
      <c r="F120" t="inlineStr">
        <is>
          <t>DALARNAS LÄN</t>
        </is>
      </c>
      <c r="G120" t="inlineStr">
        <is>
          <t>AVESTA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45598</v>
      </c>
      <c r="E121" s="1" t="n">
        <v>46311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46311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46311</v>
      </c>
      <c r="F123" t="inlineStr">
        <is>
          <t>DALARNAS LÄN</t>
        </is>
      </c>
      <c r="G123" t="inlineStr">
        <is>
          <t>AVESTA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46311</v>
      </c>
      <c r="F124" t="inlineStr">
        <is>
          <t>DALARNAS LÄN</t>
        </is>
      </c>
      <c r="G124" t="inlineStr">
        <is>
          <t>AVESTA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46311</v>
      </c>
      <c r="F125" t="inlineStr">
        <is>
          <t>DALARNAS LÄN</t>
        </is>
      </c>
      <c r="G125" t="inlineStr">
        <is>
          <t>AVESTA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46113</v>
      </c>
      <c r="E126" s="1" t="n">
        <v>46311</v>
      </c>
      <c r="F126" t="inlineStr">
        <is>
          <t>DALARNAS LÄN</t>
        </is>
      </c>
      <c r="G126" t="inlineStr">
        <is>
          <t>AVESTA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46113</v>
      </c>
      <c r="E127" s="1" t="n">
        <v>46311</v>
      </c>
      <c r="F127" t="inlineStr">
        <is>
          <t>DALARNAS LÄN</t>
        </is>
      </c>
      <c r="G127" t="inlineStr">
        <is>
          <t>AVESTA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46113</v>
      </c>
      <c r="E128" s="1" t="n">
        <v>46311</v>
      </c>
      <c r="F128" t="inlineStr">
        <is>
          <t>DALARNAS LÄN</t>
        </is>
      </c>
      <c r="G128" t="inlineStr">
        <is>
          <t>AVESTA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16824-2026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46311</v>
      </c>
      <c r="F129" t="inlineStr">
        <is>
          <t>DALARNAS LÄN</t>
        </is>
      </c>
      <c r="G129" t="inlineStr">
        <is>
          <t>AVESTA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46311</v>
      </c>
      <c r="F130" t="inlineStr">
        <is>
          <t>DALARNAS LÄN</t>
        </is>
      </c>
      <c r="G130" t="inlineStr">
        <is>
          <t>AVESTA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46113</v>
      </c>
      <c r="E131" s="1" t="n">
        <v>46311</v>
      </c>
      <c r="F131" t="inlineStr">
        <is>
          <t>DALARNAS LÄN</t>
        </is>
      </c>
      <c r="G131" t="inlineStr">
        <is>
          <t>AVESTA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46311</v>
      </c>
      <c r="F132" t="inlineStr">
        <is>
          <t>DALARNAS LÄN</t>
        </is>
      </c>
      <c r="G132" t="inlineStr">
        <is>
          <t>AVESTA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45008</v>
      </c>
      <c r="E133" s="1" t="n">
        <v>46311</v>
      </c>
      <c r="F133" t="inlineStr">
        <is>
          <t>DALARNAS LÄN</t>
        </is>
      </c>
      <c r="G133" t="inlineStr">
        <is>
          <t>AVESTA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46311</v>
      </c>
      <c r="F134" t="inlineStr">
        <is>
          <t>DALARNAS LÄN</t>
        </is>
      </c>
      <c r="G134" t="inlineStr">
        <is>
          <t>AVESTA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46311</v>
      </c>
      <c r="F135" t="inlineStr">
        <is>
          <t>DALARNAS LÄN</t>
        </is>
      </c>
      <c r="G135" t="inlineStr">
        <is>
          <t>AVESTA</t>
        </is>
      </c>
      <c r="H135" t="inlineStr">
        <is>
          <t>Sveaskog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46311</v>
      </c>
      <c r="F136" t="inlineStr">
        <is>
          <t>DALARNAS LÄN</t>
        </is>
      </c>
      <c r="G136" t="inlineStr">
        <is>
          <t>AVESTA</t>
        </is>
      </c>
      <c r="H136" t="inlineStr">
        <is>
          <t>Bergvik skog väst AB</t>
        </is>
      </c>
      <c r="I136" t="n">
        <v>37.2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18679-2026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46128</v>
      </c>
      <c r="E137" s="1" t="n">
        <v>46311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46128</v>
      </c>
      <c r="E138" s="1" t="n">
        <v>46311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46128</v>
      </c>
      <c r="E139" s="1" t="n">
        <v>46311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46311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46676-2024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46311</v>
      </c>
      <c r="F141" t="inlineStr">
        <is>
          <t>DALARNAS LÄN</t>
        </is>
      </c>
      <c r="G141" t="inlineStr">
        <is>
          <t>AVESTA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31000-2024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45499</v>
      </c>
      <c r="E142" s="1" t="n">
        <v>46311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46311</v>
      </c>
      <c r="F143" t="inlineStr">
        <is>
          <t>DALARNAS LÄN</t>
        </is>
      </c>
      <c r="G143" t="inlineStr">
        <is>
          <t>AVESTA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46311</v>
      </c>
      <c r="F144" t="inlineStr">
        <is>
          <t>DALARNAS LÄN</t>
        </is>
      </c>
      <c r="G144" t="inlineStr">
        <is>
          <t>AVESTA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26516-2022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44739</v>
      </c>
      <c r="E145" s="1" t="n">
        <v>46311</v>
      </c>
      <c r="F145" t="inlineStr">
        <is>
          <t>DALARNAS LÄN</t>
        </is>
      </c>
      <c r="G145" t="inlineStr">
        <is>
          <t>AVESTA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45182</v>
      </c>
      <c r="E146" s="1" t="n">
        <v>46311</v>
      </c>
      <c r="F146" t="inlineStr">
        <is>
          <t>DALARNAS LÄN</t>
        </is>
      </c>
      <c r="G146" t="inlineStr">
        <is>
          <t>AVESTA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45649</v>
      </c>
      <c r="E147" s="1" t="n">
        <v>46311</v>
      </c>
      <c r="F147" t="inlineStr">
        <is>
          <t>DALARNAS LÄN</t>
        </is>
      </c>
      <c r="G147" t="inlineStr">
        <is>
          <t>AVESTA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19957-2026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46135</v>
      </c>
      <c r="E148" s="1" t="n">
        <v>46311</v>
      </c>
      <c r="F148" t="inlineStr">
        <is>
          <t>DALARNAS LÄN</t>
        </is>
      </c>
      <c r="G148" t="inlineStr">
        <is>
          <t>AVESTA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45684</v>
      </c>
      <c r="E149" s="1" t="n">
        <v>46311</v>
      </c>
      <c r="F149" t="inlineStr">
        <is>
          <t>DALARNAS LÄN</t>
        </is>
      </c>
      <c r="G149" t="inlineStr">
        <is>
          <t>AVESTA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45453</v>
      </c>
      <c r="E150" s="1" t="n">
        <v>46311</v>
      </c>
      <c r="F150" t="inlineStr">
        <is>
          <t>DALARNAS LÄN</t>
        </is>
      </c>
      <c r="G150" t="inlineStr">
        <is>
          <t>AVESTA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9786-2025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45715</v>
      </c>
      <c r="E151" s="1" t="n">
        <v>46311</v>
      </c>
      <c r="F151" t="inlineStr">
        <is>
          <t>DALARNAS LÄN</t>
        </is>
      </c>
      <c r="G151" t="inlineStr">
        <is>
          <t>AVESTA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46311</v>
      </c>
      <c r="F152" t="inlineStr">
        <is>
          <t>DALARNAS LÄN</t>
        </is>
      </c>
      <c r="G152" t="inlineStr">
        <is>
          <t>AVESTA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46311</v>
      </c>
      <c r="F153" t="inlineStr">
        <is>
          <t>DALARNAS LÄN</t>
        </is>
      </c>
      <c r="G153" t="inlineStr">
        <is>
          <t>AVESTA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45791</v>
      </c>
      <c r="E154" s="1" t="n">
        <v>46311</v>
      </c>
      <c r="F154" t="inlineStr">
        <is>
          <t>DALARNAS LÄN</t>
        </is>
      </c>
      <c r="G154" t="inlineStr">
        <is>
          <t>AVESTA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32770-2023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45123</v>
      </c>
      <c r="E155" s="1" t="n">
        <v>46311</v>
      </c>
      <c r="F155" t="inlineStr">
        <is>
          <t>DALARNAS LÄN</t>
        </is>
      </c>
      <c r="G155" t="inlineStr">
        <is>
          <t>AVESTA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46311</v>
      </c>
      <c r="F156" t="inlineStr">
        <is>
          <t>DALARNAS LÄN</t>
        </is>
      </c>
      <c r="G156" t="inlineStr">
        <is>
          <t>AVESTA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45866</v>
      </c>
      <c r="E157" s="1" t="n">
        <v>46311</v>
      </c>
      <c r="F157" t="inlineStr">
        <is>
          <t>DALARNAS LÄN</t>
        </is>
      </c>
      <c r="G157" t="inlineStr">
        <is>
          <t>AVESTA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46311</v>
      </c>
      <c r="F158" t="inlineStr">
        <is>
          <t>DALARNAS LÄN</t>
        </is>
      </c>
      <c r="G158" t="inlineStr">
        <is>
          <t>AVESTA</t>
        </is>
      </c>
      <c r="I158" t="n">
        <v>12.9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45314</v>
      </c>
      <c r="E159" s="1" t="n">
        <v>46311</v>
      </c>
      <c r="F159" t="inlineStr">
        <is>
          <t>DALARNAS LÄN</t>
        </is>
      </c>
      <c r="G159" t="inlineStr">
        <is>
          <t>AVESTA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50681-2024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45602</v>
      </c>
      <c r="E160" s="1" t="n">
        <v>46311</v>
      </c>
      <c r="F160" t="inlineStr">
        <is>
          <t>DALARNAS LÄN</t>
        </is>
      </c>
      <c r="G160" t="inlineStr">
        <is>
          <t>AVESTA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45044</v>
      </c>
      <c r="E161" s="1" t="n">
        <v>46311</v>
      </c>
      <c r="F161" t="inlineStr">
        <is>
          <t>DALARNAS LÄN</t>
        </is>
      </c>
      <c r="G161" t="inlineStr">
        <is>
          <t>AVESTA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44971</v>
      </c>
      <c r="E162" s="1" t="n">
        <v>46311</v>
      </c>
      <c r="F162" t="inlineStr">
        <is>
          <t>DALARNAS LÄN</t>
        </is>
      </c>
      <c r="G162" t="inlineStr">
        <is>
          <t>AVESTA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53100-2024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45611</v>
      </c>
      <c r="E163" s="1" t="n">
        <v>46311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32113-2024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45511</v>
      </c>
      <c r="E164" s="1" t="n">
        <v>46311</v>
      </c>
      <c r="F164" t="inlineStr">
        <is>
          <t>DALARNAS LÄN</t>
        </is>
      </c>
      <c r="G164" t="inlineStr">
        <is>
          <t>AVESTA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45446</v>
      </c>
      <c r="E165" s="1" t="n">
        <v>46311</v>
      </c>
      <c r="F165" t="inlineStr">
        <is>
          <t>DALARNAS LÄN</t>
        </is>
      </c>
      <c r="G165" t="inlineStr">
        <is>
          <t>AVESTA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44614</v>
      </c>
      <c r="E166" s="1" t="n">
        <v>46311</v>
      </c>
      <c r="F166" t="inlineStr">
        <is>
          <t>DALARNAS LÄN</t>
        </is>
      </c>
      <c r="G166" t="inlineStr">
        <is>
          <t>AVESTA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43172-2025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45910</v>
      </c>
      <c r="E167" s="1" t="n">
        <v>46311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46311</v>
      </c>
      <c r="F168" t="inlineStr">
        <is>
          <t>DALARNAS LÄN</t>
        </is>
      </c>
      <c r="G168" t="inlineStr">
        <is>
          <t>AVESTA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45457</v>
      </c>
      <c r="E169" s="1" t="n">
        <v>46311</v>
      </c>
      <c r="F169" t="inlineStr">
        <is>
          <t>DALARNAS LÄN</t>
        </is>
      </c>
      <c r="G169" t="inlineStr">
        <is>
          <t>AVESTA</t>
        </is>
      </c>
      <c r="I169" t="n">
        <v>9.800000000000001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46311</v>
      </c>
      <c r="F170" t="inlineStr">
        <is>
          <t>DALARNAS LÄN</t>
        </is>
      </c>
      <c r="G170" t="inlineStr">
        <is>
          <t>AVESTA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50682-2024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45602</v>
      </c>
      <c r="E171" s="1" t="n">
        <v>46311</v>
      </c>
      <c r="F171" t="inlineStr">
        <is>
          <t>DALARNAS LÄN</t>
        </is>
      </c>
      <c r="G171" t="inlineStr">
        <is>
          <t>AVESTA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45231</v>
      </c>
      <c r="E172" s="1" t="n">
        <v>46311</v>
      </c>
      <c r="F172" t="inlineStr">
        <is>
          <t>DALARNAS LÄN</t>
        </is>
      </c>
      <c r="G172" t="inlineStr">
        <is>
          <t>AVESTA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45274</v>
      </c>
      <c r="E173" s="1" t="n">
        <v>46311</v>
      </c>
      <c r="F173" t="inlineStr">
        <is>
          <t>DALARNAS LÄN</t>
        </is>
      </c>
      <c r="G173" t="inlineStr">
        <is>
          <t>AVESTA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46311</v>
      </c>
      <c r="F174" t="inlineStr">
        <is>
          <t>DALARNAS LÄN</t>
        </is>
      </c>
      <c r="G174" t="inlineStr">
        <is>
          <t>AVESTA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46146</v>
      </c>
      <c r="E175" s="1" t="n">
        <v>46311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46311</v>
      </c>
      <c r="F176" t="inlineStr">
        <is>
          <t>DALARNAS LÄN</t>
        </is>
      </c>
      <c r="G176" t="inlineStr">
        <is>
          <t>AVESTA</t>
        </is>
      </c>
      <c r="H176" t="inlineStr">
        <is>
          <t>Bergvik skog väst AB</t>
        </is>
      </c>
      <c r="I176" t="n">
        <v>12.2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43361-2025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46311</v>
      </c>
      <c r="F177" t="inlineStr">
        <is>
          <t>DALARNAS LÄN</t>
        </is>
      </c>
      <c r="G177" t="inlineStr">
        <is>
          <t>AVESTA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46146</v>
      </c>
      <c r="E178" s="1" t="n">
        <v>46311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46311</v>
      </c>
      <c r="F179" t="inlineStr">
        <is>
          <t>DALARNAS LÄN</t>
        </is>
      </c>
      <c r="G179" t="inlineStr">
        <is>
          <t>AVESTA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46311</v>
      </c>
      <c r="F180" t="inlineStr">
        <is>
          <t>DALARNAS LÄN</t>
        </is>
      </c>
      <c r="G180" t="inlineStr">
        <is>
          <t>AVESTA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46311</v>
      </c>
      <c r="F181" t="inlineStr">
        <is>
          <t>DALARNAS LÄN</t>
        </is>
      </c>
      <c r="G181" t="inlineStr">
        <is>
          <t>AVESTA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45082</v>
      </c>
      <c r="E182" s="1" t="n">
        <v>46311</v>
      </c>
      <c r="F182" t="inlineStr">
        <is>
          <t>DALARNAS LÄN</t>
        </is>
      </c>
      <c r="G182" t="inlineStr">
        <is>
          <t>AVESTA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46311</v>
      </c>
      <c r="F183" t="inlineStr">
        <is>
          <t>DALARNAS LÄN</t>
        </is>
      </c>
      <c r="G183" t="inlineStr">
        <is>
          <t>AVESTA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62040-2023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46311</v>
      </c>
      <c r="F184" t="inlineStr">
        <is>
          <t>DALARNAS LÄN</t>
        </is>
      </c>
      <c r="G184" t="inlineStr">
        <is>
          <t>AVESTA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46311</v>
      </c>
      <c r="F185" t="inlineStr">
        <is>
          <t>DALARNAS LÄN</t>
        </is>
      </c>
      <c r="G185" t="inlineStr">
        <is>
          <t>AVESTA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23974-2023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46311</v>
      </c>
      <c r="F186" t="inlineStr">
        <is>
          <t>DALARNAS LÄN</t>
        </is>
      </c>
      <c r="G186" t="inlineStr">
        <is>
          <t>AVESTA</t>
        </is>
      </c>
      <c r="H186" t="inlineStr">
        <is>
          <t>Sveaskog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59932-2023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45257</v>
      </c>
      <c r="E187" s="1" t="n">
        <v>46311</v>
      </c>
      <c r="F187" t="inlineStr">
        <is>
          <t>DALARNAS LÄN</t>
        </is>
      </c>
      <c r="G187" t="inlineStr">
        <is>
          <t>AVESTA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46134</v>
      </c>
      <c r="E188" s="1" t="n">
        <v>46311</v>
      </c>
      <c r="F188" t="inlineStr">
        <is>
          <t>DALARNAS LÄN</t>
        </is>
      </c>
      <c r="G188" t="inlineStr">
        <is>
          <t>AVESTA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44746</v>
      </c>
      <c r="E189" s="1" t="n">
        <v>46311</v>
      </c>
      <c r="F189" t="inlineStr">
        <is>
          <t>DALARNAS LÄN</t>
        </is>
      </c>
      <c r="G189" t="inlineStr">
        <is>
          <t>AVESTA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45008</v>
      </c>
      <c r="E190" s="1" t="n">
        <v>46311</v>
      </c>
      <c r="F190" t="inlineStr">
        <is>
          <t>DALARNAS LÄN</t>
        </is>
      </c>
      <c r="G190" t="inlineStr">
        <is>
          <t>AVESTA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46311</v>
      </c>
      <c r="F191" t="inlineStr">
        <is>
          <t>DALARNAS LÄN</t>
        </is>
      </c>
      <c r="G191" t="inlineStr">
        <is>
          <t>AVESTA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22579-2026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46155</v>
      </c>
      <c r="E192" s="1" t="n">
        <v>46311</v>
      </c>
      <c r="F192" t="inlineStr">
        <is>
          <t>DALARNAS LÄN</t>
        </is>
      </c>
      <c r="G192" t="inlineStr">
        <is>
          <t>AVESTA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46311</v>
      </c>
      <c r="F193" t="inlineStr">
        <is>
          <t>DALARNAS LÄN</t>
        </is>
      </c>
      <c r="G193" t="inlineStr">
        <is>
          <t>AVESTA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45792</v>
      </c>
      <c r="E194" s="1" t="n">
        <v>46311</v>
      </c>
      <c r="F194" t="inlineStr">
        <is>
          <t>DALARNAS LÄN</t>
        </is>
      </c>
      <c r="G194" t="inlineStr">
        <is>
          <t>AVESTA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28090-2022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44746</v>
      </c>
      <c r="E195" s="1" t="n">
        <v>46311</v>
      </c>
      <c r="F195" t="inlineStr">
        <is>
          <t>DALARNAS LÄN</t>
        </is>
      </c>
      <c r="G195" t="inlineStr">
        <is>
          <t>AVESTA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46311</v>
      </c>
      <c r="F196" t="inlineStr">
        <is>
          <t>DALARNAS LÄN</t>
        </is>
      </c>
      <c r="G196" t="inlineStr">
        <is>
          <t>AVESTA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46311</v>
      </c>
      <c r="F197" t="inlineStr">
        <is>
          <t>DALARNAS LÄN</t>
        </is>
      </c>
      <c r="G197" t="inlineStr">
        <is>
          <t>AVESTA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46311</v>
      </c>
      <c r="F198" t="inlineStr">
        <is>
          <t>DALARNAS LÄN</t>
        </is>
      </c>
      <c r="G198" t="inlineStr">
        <is>
          <t>AVESTA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45180-2025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45919</v>
      </c>
      <c r="E199" s="1" t="n">
        <v>46311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46311</v>
      </c>
      <c r="F200" t="inlineStr">
        <is>
          <t>DALARNAS LÄN</t>
        </is>
      </c>
      <c r="G200" t="inlineStr">
        <is>
          <t>AVESTA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46311</v>
      </c>
      <c r="F201" t="inlineStr">
        <is>
          <t>DALARNAS LÄN</t>
        </is>
      </c>
      <c r="G201" t="inlineStr">
        <is>
          <t>AVESTA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19359-2025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45769</v>
      </c>
      <c r="E202" s="1" t="n">
        <v>46311</v>
      </c>
      <c r="F202" t="inlineStr">
        <is>
          <t>DALARNAS LÄN</t>
        </is>
      </c>
      <c r="G202" t="inlineStr">
        <is>
          <t>AVESTA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45348</v>
      </c>
      <c r="E203" s="1" t="n">
        <v>46311</v>
      </c>
      <c r="F203" t="inlineStr">
        <is>
          <t>DALARNAS LÄN</t>
        </is>
      </c>
      <c r="G203" t="inlineStr">
        <is>
          <t>AVESTA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23200-2025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46311</v>
      </c>
      <c r="F204" t="inlineStr">
        <is>
          <t>DALARNAS LÄN</t>
        </is>
      </c>
      <c r="G204" t="inlineStr">
        <is>
          <t>AVESTA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46311</v>
      </c>
      <c r="F205" t="inlineStr">
        <is>
          <t>DALARNAS LÄN</t>
        </is>
      </c>
      <c r="G205" t="inlineStr">
        <is>
          <t>AVESTA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45269</v>
      </c>
      <c r="E206" s="1" t="n">
        <v>46311</v>
      </c>
      <c r="F206" t="inlineStr">
        <is>
          <t>DALARNAS LÄN</t>
        </is>
      </c>
      <c r="G206" t="inlineStr">
        <is>
          <t>AVESTA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52767-2022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46311</v>
      </c>
      <c r="F207" t="inlineStr">
        <is>
          <t>DALARNAS LÄN</t>
        </is>
      </c>
      <c r="G207" t="inlineStr">
        <is>
          <t>AVESTA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45496</v>
      </c>
      <c r="E208" s="1" t="n">
        <v>46311</v>
      </c>
      <c r="F208" t="inlineStr">
        <is>
          <t>DALARNAS LÄN</t>
        </is>
      </c>
      <c r="G208" t="inlineStr">
        <is>
          <t>AVESTA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45496</v>
      </c>
      <c r="E209" s="1" t="n">
        <v>46311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46311</v>
      </c>
      <c r="F210" t="inlineStr">
        <is>
          <t>DALARNAS LÄN</t>
        </is>
      </c>
      <c r="G210" t="inlineStr">
        <is>
          <t>AVESTA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46311</v>
      </c>
      <c r="F211" t="inlineStr">
        <is>
          <t>DALARNAS LÄN</t>
        </is>
      </c>
      <c r="G211" t="inlineStr">
        <is>
          <t>AVESTA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46311</v>
      </c>
      <c r="F212" t="inlineStr">
        <is>
          <t>DALARNAS LÄN</t>
        </is>
      </c>
      <c r="G212" t="inlineStr">
        <is>
          <t>AVESTA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46311</v>
      </c>
      <c r="F213" t="inlineStr">
        <is>
          <t>DALARNAS LÄN</t>
        </is>
      </c>
      <c r="G213" t="inlineStr">
        <is>
          <t>AVESTA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46311</v>
      </c>
      <c r="F214" t="inlineStr">
        <is>
          <t>DALARNAS LÄN</t>
        </is>
      </c>
      <c r="G214" t="inlineStr">
        <is>
          <t>AVESTA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45721</v>
      </c>
      <c r="E215" s="1" t="n">
        <v>46311</v>
      </c>
      <c r="F215" t="inlineStr">
        <is>
          <t>DALARNAS LÄN</t>
        </is>
      </c>
      <c r="G215" t="inlineStr">
        <is>
          <t>AVESTA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46175</v>
      </c>
      <c r="E216" s="1" t="n">
        <v>46311</v>
      </c>
      <c r="F216" t="inlineStr">
        <is>
          <t>DALARNAS LÄN</t>
        </is>
      </c>
      <c r="G216" t="inlineStr">
        <is>
          <t>AVESTA</t>
        </is>
      </c>
      <c r="I216" t="n">
        <v>19.2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46311</v>
      </c>
      <c r="F217" t="inlineStr">
        <is>
          <t>DALARNAS LÄN</t>
        </is>
      </c>
      <c r="G217" t="inlineStr">
        <is>
          <t>AVESTA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46311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46034</v>
      </c>
      <c r="E219" s="1" t="n">
        <v>46311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46311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17979-2026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46124</v>
      </c>
      <c r="E221" s="1" t="n">
        <v>46311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46311</v>
      </c>
      <c r="F222" t="inlineStr">
        <is>
          <t>DALARNAS LÄN</t>
        </is>
      </c>
      <c r="G222" t="inlineStr">
        <is>
          <t>AVESTA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26527-2022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44739</v>
      </c>
      <c r="E223" s="1" t="n">
        <v>46311</v>
      </c>
      <c r="F223" t="inlineStr">
        <is>
          <t>DALARNAS LÄN</t>
        </is>
      </c>
      <c r="G223" t="inlineStr">
        <is>
          <t>AVESTA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45072</v>
      </c>
      <c r="E224" s="1" t="n">
        <v>46311</v>
      </c>
      <c r="F224" t="inlineStr">
        <is>
          <t>DALARNAS LÄN</t>
        </is>
      </c>
      <c r="G224" t="inlineStr">
        <is>
          <t>AVESTA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46185</v>
      </c>
      <c r="E225" s="1" t="n">
        <v>46311</v>
      </c>
      <c r="F225" t="inlineStr">
        <is>
          <t>DALARNAS LÄN</t>
        </is>
      </c>
      <c r="G225" t="inlineStr">
        <is>
          <t>AVESTA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46311</v>
      </c>
      <c r="F226" t="inlineStr">
        <is>
          <t>DALARNAS LÄN</t>
        </is>
      </c>
      <c r="G226" t="inlineStr">
        <is>
          <t>AVESTA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44587</v>
      </c>
      <c r="E227" s="1" t="n">
        <v>46311</v>
      </c>
      <c r="F227" t="inlineStr">
        <is>
          <t>DALARNAS LÄN</t>
        </is>
      </c>
      <c r="G227" t="inlineStr">
        <is>
          <t>AVESTA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49095-2025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46311</v>
      </c>
      <c r="F228" t="inlineStr">
        <is>
          <t>DALARNAS LÄN</t>
        </is>
      </c>
      <c r="G228" t="inlineStr">
        <is>
          <t>AVESTA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46311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50238-2025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45943</v>
      </c>
      <c r="E230" s="1" t="n">
        <v>46311</v>
      </c>
      <c r="F230" t="inlineStr">
        <is>
          <t>DALARNAS LÄN</t>
        </is>
      </c>
      <c r="G230" t="inlineStr">
        <is>
          <t>AVESTA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46311</v>
      </c>
      <c r="F231" t="inlineStr">
        <is>
          <t>DALARNAS LÄN</t>
        </is>
      </c>
      <c r="G231" t="inlineStr">
        <is>
          <t>AVESTA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45902</v>
      </c>
      <c r="E232" s="1" t="n">
        <v>46311</v>
      </c>
      <c r="F232" t="inlineStr">
        <is>
          <t>DALARNAS LÄN</t>
        </is>
      </c>
      <c r="G232" t="inlineStr">
        <is>
          <t>AVESTA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46311</v>
      </c>
      <c r="F233" t="inlineStr">
        <is>
          <t>DALARNAS LÄN</t>
        </is>
      </c>
      <c r="G233" t="inlineStr">
        <is>
          <t>AVESTA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46311</v>
      </c>
      <c r="F234" t="inlineStr">
        <is>
          <t>DALARNAS LÄN</t>
        </is>
      </c>
      <c r="G234" t="inlineStr">
        <is>
          <t>AVESTA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28227-2026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46196</v>
      </c>
      <c r="E235" s="1" t="n">
        <v>46311</v>
      </c>
      <c r="F235" t="inlineStr">
        <is>
          <t>DALARNAS LÄN</t>
        </is>
      </c>
      <c r="G235" t="inlineStr">
        <is>
          <t>AVESTA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46311</v>
      </c>
      <c r="F236" t="inlineStr">
        <is>
          <t>DALARNAS LÄN</t>
        </is>
      </c>
      <c r="G236" t="inlineStr">
        <is>
          <t>AVESTA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46311</v>
      </c>
      <c r="F237" t="inlineStr">
        <is>
          <t>DALARNAS LÄN</t>
        </is>
      </c>
      <c r="G237" t="inlineStr">
        <is>
          <t>AVESTA</t>
        </is>
      </c>
      <c r="H237" t="inlineStr">
        <is>
          <t>Sveaskog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46311</v>
      </c>
      <c r="F238" t="inlineStr">
        <is>
          <t>DALARNAS LÄN</t>
        </is>
      </c>
      <c r="G238" t="inlineStr">
        <is>
          <t>AVESTA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45190</v>
      </c>
      <c r="E239" s="1" t="n">
        <v>46311</v>
      </c>
      <c r="F239" t="inlineStr">
        <is>
          <t>DALARNAS LÄN</t>
        </is>
      </c>
      <c r="G239" t="inlineStr">
        <is>
          <t>AVESTA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44687</v>
      </c>
      <c r="E240" s="1" t="n">
        <v>46311</v>
      </c>
      <c r="F240" t="inlineStr">
        <is>
          <t>DALARNAS LÄN</t>
        </is>
      </c>
      <c r="G240" t="inlineStr">
        <is>
          <t>AVESTA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45598</v>
      </c>
      <c r="E241" s="1" t="n">
        <v>46311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45948</v>
      </c>
      <c r="E242" s="1" t="n">
        <v>46311</v>
      </c>
      <c r="F242" t="inlineStr">
        <is>
          <t>DALARNAS LÄN</t>
        </is>
      </c>
      <c r="G242" t="inlineStr">
        <is>
          <t>AVESTA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45948</v>
      </c>
      <c r="E243" s="1" t="n">
        <v>46311</v>
      </c>
      <c r="F243" t="inlineStr">
        <is>
          <t>DALARNAS LÄN</t>
        </is>
      </c>
      <c r="G243" t="inlineStr">
        <is>
          <t>AVESTA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46311</v>
      </c>
      <c r="F244" t="inlineStr">
        <is>
          <t>DALARNAS LÄN</t>
        </is>
      </c>
      <c r="G244" t="inlineStr">
        <is>
          <t>AVESTA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46311</v>
      </c>
      <c r="F245" t="inlineStr">
        <is>
          <t>DALARNAS LÄN</t>
        </is>
      </c>
      <c r="G245" t="inlineStr">
        <is>
          <t>AVESTA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46311</v>
      </c>
      <c r="F246" t="inlineStr">
        <is>
          <t>DALARNAS LÄN</t>
        </is>
      </c>
      <c r="G246" t="inlineStr">
        <is>
          <t>AVESTA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45583</v>
      </c>
      <c r="E247" s="1" t="n">
        <v>46311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46223</v>
      </c>
      <c r="E248" s="1" t="n">
        <v>46311</v>
      </c>
      <c r="F248" t="inlineStr">
        <is>
          <t>DALARNAS LÄN</t>
        </is>
      </c>
      <c r="G248" t="inlineStr">
        <is>
          <t>AVESTA</t>
        </is>
      </c>
      <c r="H248" t="inlineStr">
        <is>
          <t>Bergvik skog väst AB</t>
        </is>
      </c>
      <c r="I248" t="n">
        <v>21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46311</v>
      </c>
      <c r="F249" t="inlineStr">
        <is>
          <t>DALARNAS LÄN</t>
        </is>
      </c>
      <c r="G249" t="inlineStr">
        <is>
          <t>AVESTA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46311</v>
      </c>
      <c r="F250" t="inlineStr">
        <is>
          <t>DALARNAS LÄN</t>
        </is>
      </c>
      <c r="G250" t="inlineStr">
        <is>
          <t>AVESTA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46311</v>
      </c>
      <c r="F251" t="inlineStr">
        <is>
          <t>DALARNAS LÄN</t>
        </is>
      </c>
      <c r="G251" t="inlineStr">
        <is>
          <t>AVESTA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45734</v>
      </c>
      <c r="E252" s="1" t="n">
        <v>46311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46679-2024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45583</v>
      </c>
      <c r="E253" s="1" t="n">
        <v>46311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46168</v>
      </c>
      <c r="E254" s="1" t="n">
        <v>46311</v>
      </c>
      <c r="F254" t="inlineStr">
        <is>
          <t>DALARNAS LÄN</t>
        </is>
      </c>
      <c r="G254" t="inlineStr">
        <is>
          <t>AVESTA</t>
        </is>
      </c>
      <c r="I254" t="n">
        <v>8.800000000000001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25115-2025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46311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37384-2026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46275</v>
      </c>
      <c r="E256" s="1" t="n">
        <v>46311</v>
      </c>
      <c r="F256" t="inlineStr">
        <is>
          <t>DALARNAS LÄN</t>
        </is>
      </c>
      <c r="G256" t="inlineStr">
        <is>
          <t>AVESTA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45273</v>
      </c>
      <c r="E257" s="1" t="n">
        <v>46311</v>
      </c>
      <c r="F257" t="inlineStr">
        <is>
          <t>DALARNAS LÄN</t>
        </is>
      </c>
      <c r="G257" t="inlineStr">
        <is>
          <t>AVESTA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46311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45008</v>
      </c>
      <c r="E259" s="1" t="n">
        <v>46311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45007</v>
      </c>
      <c r="E260" s="1" t="n">
        <v>46311</v>
      </c>
      <c r="F260" t="inlineStr">
        <is>
          <t>DALARNAS LÄN</t>
        </is>
      </c>
      <c r="G260" t="inlineStr">
        <is>
          <t>AVESTA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45252</v>
      </c>
      <c r="E261" s="1" t="n">
        <v>46311</v>
      </c>
      <c r="F261" t="inlineStr">
        <is>
          <t>DALARNAS LÄN</t>
        </is>
      </c>
      <c r="G261" t="inlineStr">
        <is>
          <t>AVESTA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8523-2023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46311</v>
      </c>
      <c r="F262" t="inlineStr">
        <is>
          <t>DALARNAS LÄN</t>
        </is>
      </c>
      <c r="G262" t="inlineStr">
        <is>
          <t>AVESTA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45007</v>
      </c>
      <c r="E263" s="1" t="n">
        <v>46311</v>
      </c>
      <c r="F263" t="inlineStr">
        <is>
          <t>DALARNAS LÄN</t>
        </is>
      </c>
      <c r="G263" t="inlineStr">
        <is>
          <t>AVESTA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37534-2022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44809</v>
      </c>
      <c r="E264" s="1" t="n">
        <v>46311</v>
      </c>
      <c r="F264" t="inlineStr">
        <is>
          <t>DALARNAS LÄN</t>
        </is>
      </c>
      <c r="G264" t="inlineStr">
        <is>
          <t>AVESTA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63519-2021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46311</v>
      </c>
      <c r="F265" t="inlineStr">
        <is>
          <t>DALARNAS LÄN</t>
        </is>
      </c>
      <c r="G265" t="inlineStr">
        <is>
          <t>AVESTA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31430-2024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45505</v>
      </c>
      <c r="E266" s="1" t="n">
        <v>46311</v>
      </c>
      <c r="F266" t="inlineStr">
        <is>
          <t>DALARNAS LÄN</t>
        </is>
      </c>
      <c r="G266" t="inlineStr">
        <is>
          <t>AVESTA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45321</v>
      </c>
      <c r="E267" s="1" t="n">
        <v>46311</v>
      </c>
      <c r="F267" t="inlineStr">
        <is>
          <t>DALARNAS LÄN</t>
        </is>
      </c>
      <c r="G267" t="inlineStr">
        <is>
          <t>AVESTA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44971</v>
      </c>
      <c r="E268" s="1" t="n">
        <v>46311</v>
      </c>
      <c r="F268" t="inlineStr">
        <is>
          <t>DALARNAS LÄN</t>
        </is>
      </c>
      <c r="G268" t="inlineStr">
        <is>
          <t>AVESTA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38554-2026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46283</v>
      </c>
      <c r="E269" s="1" t="n">
        <v>46311</v>
      </c>
      <c r="F269" t="inlineStr">
        <is>
          <t>DALARNAS LÄN</t>
        </is>
      </c>
      <c r="G269" t="inlineStr">
        <is>
          <t>AVESTA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45123</v>
      </c>
      <c r="E270" s="1" t="n">
        <v>46311</v>
      </c>
      <c r="F270" t="inlineStr">
        <is>
          <t>DALARNAS LÄN</t>
        </is>
      </c>
      <c r="G270" t="inlineStr">
        <is>
          <t>AVESTA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32771-2023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45123</v>
      </c>
      <c r="E271" s="1" t="n">
        <v>46311</v>
      </c>
      <c r="F271" t="inlineStr">
        <is>
          <t>DALARNAS LÄN</t>
        </is>
      </c>
      <c r="G271" t="inlineStr">
        <is>
          <t>AVESTA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46311</v>
      </c>
      <c r="F272" t="inlineStr">
        <is>
          <t>DALARNAS LÄN</t>
        </is>
      </c>
      <c r="G272" t="inlineStr">
        <is>
          <t>AVESTA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38553-2026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46283</v>
      </c>
      <c r="E273" s="1" t="n">
        <v>46311</v>
      </c>
      <c r="F273" t="inlineStr">
        <is>
          <t>DALARNAS LÄN</t>
        </is>
      </c>
      <c r="G273" t="inlineStr">
        <is>
          <t>AVESTA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46311</v>
      </c>
      <c r="F274" t="inlineStr">
        <is>
          <t>DALARNAS LÄN</t>
        </is>
      </c>
      <c r="G274" t="inlineStr">
        <is>
          <t>AVESTA</t>
        </is>
      </c>
      <c r="H274" t="inlineStr">
        <is>
          <t>Bergvik skog väst AB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39389-2026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46311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46244</v>
      </c>
      <c r="E276" s="1" t="n">
        <v>46311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8.5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39318-2026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46287</v>
      </c>
      <c r="E277" s="1" t="n">
        <v>46311</v>
      </c>
      <c r="F277" t="inlineStr">
        <is>
          <t>DALARNAS LÄN</t>
        </is>
      </c>
      <c r="G277" t="inlineStr">
        <is>
          <t>AVESTA</t>
        </is>
      </c>
      <c r="H277" t="inlineStr">
        <is>
          <t>Bergvik skog väst AB</t>
        </is>
      </c>
      <c r="I277" t="n">
        <v>49.9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45982</v>
      </c>
      <c r="E278" s="1" t="n">
        <v>46311</v>
      </c>
      <c r="F278" t="inlineStr">
        <is>
          <t>DALARNAS LÄN</t>
        </is>
      </c>
      <c r="G278" t="inlineStr">
        <is>
          <t>AVESTA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45694</v>
      </c>
      <c r="E279" s="1" t="n">
        <v>46311</v>
      </c>
      <c r="F279" t="inlineStr">
        <is>
          <t>DALARNAS LÄN</t>
        </is>
      </c>
      <c r="G279" t="inlineStr">
        <is>
          <t>AVESTA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45538</v>
      </c>
      <c r="E280" s="1" t="n">
        <v>46311</v>
      </c>
      <c r="F280" t="inlineStr">
        <is>
          <t>DALARNAS LÄN</t>
        </is>
      </c>
      <c r="G280" t="inlineStr">
        <is>
          <t>AVESTA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45628</v>
      </c>
      <c r="E281" s="1" t="n">
        <v>46311</v>
      </c>
      <c r="F281" t="inlineStr">
        <is>
          <t>DALARNAS LÄN</t>
        </is>
      </c>
      <c r="G281" t="inlineStr">
        <is>
          <t>AVESTA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46311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46246</v>
      </c>
      <c r="E283" s="1" t="n">
        <v>46311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20942-2025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45777</v>
      </c>
      <c r="E284" s="1" t="n">
        <v>46311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45994</v>
      </c>
      <c r="E285" s="1" t="n">
        <v>46311</v>
      </c>
      <c r="F285" t="inlineStr">
        <is>
          <t>DALARNAS LÄN</t>
        </is>
      </c>
      <c r="G285" t="inlineStr">
        <is>
          <t>AVESTA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10779-2024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45369</v>
      </c>
      <c r="E286" s="1" t="n">
        <v>46311</v>
      </c>
      <c r="F286" t="inlineStr">
        <is>
          <t>DALARNAS LÄN</t>
        </is>
      </c>
      <c r="G286" t="inlineStr">
        <is>
          <t>AVESTA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26769-2026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46311</v>
      </c>
      <c r="F287" t="inlineStr">
        <is>
          <t>DALARNAS LÄN</t>
        </is>
      </c>
      <c r="G287" t="inlineStr">
        <is>
          <t>AVESTA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45877</v>
      </c>
      <c r="E288" s="1" t="n">
        <v>46311</v>
      </c>
      <c r="F288" t="inlineStr">
        <is>
          <t>DALARNAS LÄN</t>
        </is>
      </c>
      <c r="G288" t="inlineStr">
        <is>
          <t>AVESTA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45405</v>
      </c>
      <c r="E289" s="1" t="n">
        <v>46311</v>
      </c>
      <c r="F289" t="inlineStr">
        <is>
          <t>DALARNAS LÄN</t>
        </is>
      </c>
      <c r="G289" t="inlineStr">
        <is>
          <t>AVESTA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46296</v>
      </c>
      <c r="E290" s="1" t="n">
        <v>46311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46311</v>
      </c>
      <c r="F291" t="inlineStr">
        <is>
          <t>DALARNAS LÄN</t>
        </is>
      </c>
      <c r="G291" t="inlineStr">
        <is>
          <t>AVESTA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46311</v>
      </c>
      <c r="F292" t="inlineStr">
        <is>
          <t>DALARNAS LÄN</t>
        </is>
      </c>
      <c r="G292" t="inlineStr">
        <is>
          <t>AVESTA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46296</v>
      </c>
      <c r="E293" s="1" t="n">
        <v>46311</v>
      </c>
      <c r="F293" t="inlineStr">
        <is>
          <t>DALARNAS LÄN</t>
        </is>
      </c>
      <c r="G293" t="inlineStr">
        <is>
          <t>AVESTA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46311</v>
      </c>
      <c r="F294" t="inlineStr">
        <is>
          <t>DALARNAS LÄN</t>
        </is>
      </c>
      <c r="G294" t="inlineStr">
        <is>
          <t>AVESTA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46311</v>
      </c>
      <c r="F295" t="inlineStr">
        <is>
          <t>DALARNAS LÄN</t>
        </is>
      </c>
      <c r="G295" t="inlineStr">
        <is>
          <t>AVESTA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45510</v>
      </c>
      <c r="E296" s="1" t="n">
        <v>46311</v>
      </c>
      <c r="F296" t="inlineStr">
        <is>
          <t>DALARNAS LÄN</t>
        </is>
      </c>
      <c r="G296" t="inlineStr">
        <is>
          <t>AVESTA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46297</v>
      </c>
      <c r="E297" s="1" t="n">
        <v>46311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46311</v>
      </c>
      <c r="F298" t="inlineStr">
        <is>
          <t>DALARNAS LÄN</t>
        </is>
      </c>
      <c r="G298" t="inlineStr">
        <is>
          <t>AVESTA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15925-2024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46311</v>
      </c>
      <c r="F299" t="inlineStr">
        <is>
          <t>DALARNAS LÄN</t>
        </is>
      </c>
      <c r="G299" t="inlineStr">
        <is>
          <t>AVESTA</t>
        </is>
      </c>
      <c r="I299" t="n">
        <v>13.7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46311</v>
      </c>
      <c r="F300" t="inlineStr">
        <is>
          <t>DALARNAS LÄN</t>
        </is>
      </c>
      <c r="G300" t="inlineStr">
        <is>
          <t>AVESTA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7320-2025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46311</v>
      </c>
      <c r="F301" t="inlineStr">
        <is>
          <t>DALARNAS LÄN</t>
        </is>
      </c>
      <c r="G301" t="inlineStr">
        <is>
          <t>AVESTA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55384-2023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46311</v>
      </c>
      <c r="F302" t="inlineStr">
        <is>
          <t>DALARNAS LÄN</t>
        </is>
      </c>
      <c r="G302" t="inlineStr">
        <is>
          <t>AVESTA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46311</v>
      </c>
      <c r="F303" t="inlineStr">
        <is>
          <t>DALARNAS LÄN</t>
        </is>
      </c>
      <c r="G303" t="inlineStr">
        <is>
          <t>AVESTA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41564-2026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46301</v>
      </c>
      <c r="E304" s="1" t="n">
        <v>46311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46301</v>
      </c>
      <c r="E305" s="1" t="n">
        <v>46311</v>
      </c>
      <c r="F305" t="inlineStr">
        <is>
          <t>DALARNAS LÄN</t>
        </is>
      </c>
      <c r="G305" t="inlineStr">
        <is>
          <t>AVESTA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45796</v>
      </c>
      <c r="E306" s="1" t="n">
        <v>46311</v>
      </c>
      <c r="F306" t="inlineStr">
        <is>
          <t>DALARNAS LÄN</t>
        </is>
      </c>
      <c r="G306" t="inlineStr">
        <is>
          <t>AVESTA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46311</v>
      </c>
      <c r="F307" t="inlineStr">
        <is>
          <t>DALARNAS LÄN</t>
        </is>
      </c>
      <c r="G307" t="inlineStr">
        <is>
          <t>AVESTA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24199-2025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46311</v>
      </c>
      <c r="F308" t="inlineStr">
        <is>
          <t>DALARNAS LÄN</t>
        </is>
      </c>
      <c r="G308" t="inlineStr">
        <is>
          <t>AVESTA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62093-2024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45656</v>
      </c>
      <c r="E309" s="1" t="n">
        <v>46311</v>
      </c>
      <c r="F309" t="inlineStr">
        <is>
          <t>DALARNAS LÄN</t>
        </is>
      </c>
      <c r="G309" t="inlineStr">
        <is>
          <t>AVESTA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46301</v>
      </c>
      <c r="E310" s="1" t="n">
        <v>46311</v>
      </c>
      <c r="F310" t="inlineStr">
        <is>
          <t>DALARNAS LÄN</t>
        </is>
      </c>
      <c r="G310" t="inlineStr">
        <is>
          <t>AVESTA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45505</v>
      </c>
      <c r="E311" s="1" t="n">
        <v>46311</v>
      </c>
      <c r="F311" t="inlineStr">
        <is>
          <t>DALARNAS LÄN</t>
        </is>
      </c>
      <c r="G311" t="inlineStr">
        <is>
          <t>AVESTA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54913-2025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46311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46311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64102-2025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46311</v>
      </c>
      <c r="F314" t="inlineStr">
        <is>
          <t>DALARNAS LÄN</t>
        </is>
      </c>
      <c r="G314" t="inlineStr">
        <is>
          <t>AVESTA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46311</v>
      </c>
      <c r="F315" t="inlineStr">
        <is>
          <t>DALARNAS LÄN</t>
        </is>
      </c>
      <c r="G315" t="inlineStr">
        <is>
          <t>AVESTA</t>
        </is>
      </c>
      <c r="I315" t="n">
        <v>6.4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46261</v>
      </c>
      <c r="E316" s="1" t="n">
        <v>46311</v>
      </c>
      <c r="F316" t="inlineStr">
        <is>
          <t>DALARNAS LÄN</t>
        </is>
      </c>
      <c r="G316" t="inlineStr">
        <is>
          <t>AVESTA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29996-2026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46205</v>
      </c>
      <c r="E317" s="1" t="n">
        <v>46311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42272-2026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46307</v>
      </c>
      <c r="E318" s="1" t="n">
        <v>46311</v>
      </c>
      <c r="F318" t="inlineStr">
        <is>
          <t>DALARNAS LÄN</t>
        </is>
      </c>
      <c r="G318" t="inlineStr">
        <is>
          <t>AVESTA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46311</v>
      </c>
      <c r="F319" t="inlineStr">
        <is>
          <t>DALARNAS LÄN</t>
        </is>
      </c>
      <c r="G319" t="inlineStr">
        <is>
          <t>AVESTA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4901-2026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46311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12.1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46049</v>
      </c>
      <c r="E321" s="1" t="n">
        <v>46311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46311</v>
      </c>
      <c r="F322" t="inlineStr">
        <is>
          <t>DALARNAS LÄN</t>
        </is>
      </c>
      <c r="G322" t="inlineStr">
        <is>
          <t>AVESTA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46307</v>
      </c>
      <c r="E323" s="1" t="n">
        <v>46311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46307</v>
      </c>
      <c r="E324" s="1" t="n">
        <v>46311</v>
      </c>
      <c r="F324" t="inlineStr">
        <is>
          <t>DALARNAS LÄN</t>
        </is>
      </c>
      <c r="G324" t="inlineStr">
        <is>
          <t>AVESTA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46307</v>
      </c>
      <c r="E325" s="1" t="n">
        <v>46311</v>
      </c>
      <c r="F325" t="inlineStr">
        <is>
          <t>DALARNAS LÄN</t>
        </is>
      </c>
      <c r="G325" t="inlineStr">
        <is>
          <t>AVESTA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46055</v>
      </c>
      <c r="E326" s="1" t="n">
        <v>46311</v>
      </c>
      <c r="F326" t="inlineStr">
        <is>
          <t>DALARNAS LÄN</t>
        </is>
      </c>
      <c r="G326" t="inlineStr">
        <is>
          <t>AVESTA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42695-2026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46309</v>
      </c>
      <c r="E327" s="1" t="n">
        <v>46311</v>
      </c>
      <c r="F327" t="inlineStr">
        <is>
          <t>DALARNAS LÄN</t>
        </is>
      </c>
      <c r="G327" t="inlineStr">
        <is>
          <t>AVESTA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14944-2023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45015</v>
      </c>
      <c r="E328" s="1" t="n">
        <v>46311</v>
      </c>
      <c r="F328" t="inlineStr">
        <is>
          <t>DALARNAS LÄN</t>
        </is>
      </c>
      <c r="G328" t="inlineStr">
        <is>
          <t>AVESTA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7626-2026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46311</v>
      </c>
      <c r="F329" t="inlineStr">
        <is>
          <t>DALARNAS LÄN</t>
        </is>
      </c>
      <c r="G329" t="inlineStr">
        <is>
          <t>AVESTA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46071</v>
      </c>
      <c r="E330" s="1" t="n">
        <v>46311</v>
      </c>
      <c r="F330" t="inlineStr">
        <is>
          <t>DALARNAS LÄN</t>
        </is>
      </c>
      <c r="G330" t="inlineStr">
        <is>
          <t>AVESTA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46311</v>
      </c>
      <c r="F331" t="inlineStr">
        <is>
          <t>DALARNAS LÄN</t>
        </is>
      </c>
      <c r="G331" t="inlineStr">
        <is>
          <t>AVESTA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46311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46311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46311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46311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46311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46311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46311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46311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2026-10-16T02:17:39Z</dcterms:created>
  <dcterms:modified xmlns:dcterms="http://purl.org/dc/terms/" xmlns:xsi="http://www.w3.org/2001/XMLSchema-instance" xsi:type="dcterms:W3CDTF">2026-10-16T02:17:39Z</dcterms:modified>
</cp:coreProperties>
</file>