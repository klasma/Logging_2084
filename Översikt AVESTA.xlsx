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46238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46238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46238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46238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46238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46238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46238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46238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46238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46238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46238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46238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36007-2025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45863</v>
      </c>
      <c r="E18" s="1" t="n">
        <v>46238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15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HYPERLINK("https://klasma.github.io/Logging_2084/artfynd/A 36007-2025 artfynd.xlsx", "A 36007-2025")</f>
        <v/>
      </c>
      <c r="X18">
        <f>HYPERLINK("https://klasma.github.io/Logging_2084/kartor/A 36007-2025 karta.png", "A 36007-2025")</f>
        <v/>
      </c>
      <c r="Y18">
        <f>HYPERLINK("https://klasma.github.io/Logging_2084/kartor_geotiff/A 36007-2025 georefererad karta.tif", "A 36007-2025")</f>
        <v/>
      </c>
      <c r="AA18">
        <f>HYPERLINK("https://klasma.github.io/Logging_2084/klagomål/A 36007-2025 FSC-klagomål.docx", "A 36007-2025")</f>
        <v/>
      </c>
      <c r="AB18">
        <f>HYPERLINK("https://klasma.github.io/Logging_2084/klagomålsmail/A 36007-2025 FSC-klagomål mail.docx", "A 36007-2025")</f>
        <v/>
      </c>
      <c r="AC18">
        <f>HYPERLINK("https://klasma.github.io/Logging_2084/tillsyn/A 36007-2025 tillsynsbegäran.docx", "A 36007-2025")</f>
        <v/>
      </c>
      <c r="AD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45863</v>
      </c>
      <c r="E19" s="1" t="n">
        <v>46238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Fläcknycklar</t>
        </is>
      </c>
      <c r="W19">
        <f>HYPERLINK("https://klasma.github.io/Logging_2084/artfynd/A 36002-2025 artfynd.xlsx", "A 36002-2025")</f>
        <v/>
      </c>
      <c r="X19">
        <f>HYPERLINK("https://klasma.github.io/Logging_2084/kartor/A 36002-2025 karta.png", "A 36002-2025")</f>
        <v/>
      </c>
      <c r="Y19">
        <f>HYPERLINK("https://klasma.github.io/Logging_2084/kartor_geotiff/A 36002-2025 georefererad karta.tif", "A 36002-2025")</f>
        <v/>
      </c>
      <c r="AA19">
        <f>HYPERLINK("https://klasma.github.io/Logging_2084/klagomål/A 36002-2025 FSC-klagomål.docx", "A 36002-2025")</f>
        <v/>
      </c>
      <c r="AB19">
        <f>HYPERLINK("https://klasma.github.io/Logging_2084/klagomålsmail/A 36002-2025 FSC-klagomål mail.docx", "A 36002-2025")</f>
        <v/>
      </c>
      <c r="AC19">
        <f>HYPERLINK("https://klasma.github.io/Logging_2084/tillsyn/A 36002-2025 tillsynsbegäran.docx", "A 36002-2025")</f>
        <v/>
      </c>
      <c r="AD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46238</v>
      </c>
      <c r="F20" t="inlineStr">
        <is>
          <t>DALARNAS LÄN</t>
        </is>
      </c>
      <c r="G20" t="inlineStr">
        <is>
          <t>AVESTA</t>
        </is>
      </c>
      <c r="I20" t="n">
        <v>10.2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7</v>
      </c>
      <c r="U20" t="n">
        <v>7</v>
      </c>
      <c r="V20" s="2" t="inlineStr">
        <is>
          <t>Knärot</t>
        </is>
      </c>
      <c r="W20">
        <f>HYPERLINK("https://klasma.github.io/Logging_2084/artfynd/A 17913-2025 artfynd.xlsx", "A 17913-2025")</f>
        <v/>
      </c>
      <c r="X20">
        <f>HYPERLINK("https://klasma.github.io/Logging_2084/kartor/A 17913-2025 karta.png", "A 17913-2025")</f>
        <v/>
      </c>
      <c r="Y20">
        <f>HYPERLINK("https://klasma.github.io/Logging_2084/kartor_geotiff/A 17913-2025 georefererad karta.tif", "A 17913-2025")</f>
        <v/>
      </c>
      <c r="Z20">
        <f>HYPERLINK("https://klasma.github.io/Logging_2084/knärot/A 17913-2025 karta knärot.png", "A 17913-2025")</f>
        <v/>
      </c>
      <c r="AA20">
        <f>HYPERLINK("https://klasma.github.io/Logging_2084/klagomål/A 17913-2025 FSC-klagomål.docx", "A 17913-2025")</f>
        <v/>
      </c>
      <c r="AB20">
        <f>HYPERLINK("https://klasma.github.io/Logging_2084/klagomålsmail/A 17913-2025 FSC-klagomål mail.docx", "A 17913-2025")</f>
        <v/>
      </c>
      <c r="AC20">
        <f>HYPERLINK("https://klasma.github.io/Logging_2084/tillsyn/A 17913-2025 tillsynsbegäran.docx", "A 17913-2025")</f>
        <v/>
      </c>
      <c r="AD20">
        <f>HYPERLINK("https://klasma.github.io/Logging_2084/tillsynsmail/A 17913-2025 tillsynsbegäran mail.docx", "A 17913-2025")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46238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39253-2025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45889</v>
      </c>
      <c r="E22" s="1" t="n">
        <v>46238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10.2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Nordfladdermus</t>
        </is>
      </c>
      <c r="W22">
        <f>HYPERLINK("https://klasma.github.io/Logging_2084/artfynd/A 39253-2025 artfynd.xlsx", "A 39253-2025")</f>
        <v/>
      </c>
      <c r="X22">
        <f>HYPERLINK("https://klasma.github.io/Logging_2084/kartor/A 39253-2025 karta.png", "A 39253-2025")</f>
        <v/>
      </c>
      <c r="Y22">
        <f>HYPERLINK("https://klasma.github.io/Logging_2084/kartor_geotiff/A 39253-2025 georefererad karta.tif", "A 39253-2025")</f>
        <v/>
      </c>
      <c r="AA22">
        <f>HYPERLINK("https://klasma.github.io/Logging_2084/klagomål/A 39253-2025 FSC-klagomål.docx", "A 39253-2025")</f>
        <v/>
      </c>
      <c r="AB22">
        <f>HYPERLINK("https://klasma.github.io/Logging_2084/klagomålsmail/A 39253-2025 FSC-klagomål mail.docx", "A 39253-2025")</f>
        <v/>
      </c>
      <c r="AC22">
        <f>HYPERLINK("https://klasma.github.io/Logging_2084/tillsyn/A 39253-2025 tillsynsbegäran.docx", "A 39253-2025")</f>
        <v/>
      </c>
      <c r="AD22">
        <f>HYPERLINK("https://klasma.github.io/Logging_2084/tillsynsmail/A 39253-2025 tillsynsbegäran mail.docx", "A 39253-2025")</f>
        <v/>
      </c>
    </row>
    <row r="23" ht="15" customHeight="1">
      <c r="A23" t="inlineStr">
        <is>
          <t>A 26787-2026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46183</v>
      </c>
      <c r="E23" s="1" t="n">
        <v>46238</v>
      </c>
      <c r="F23" t="inlineStr">
        <is>
          <t>DALARNAS LÄN</t>
        </is>
      </c>
      <c r="G23" t="inlineStr">
        <is>
          <t>AVESTA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HYPERLINK("https://klasma.github.io/Logging_2084/artfynd/A 26787-2026 artfynd.xlsx", "A 26787-2026")</f>
        <v/>
      </c>
      <c r="X23">
        <f>HYPERLINK("https://klasma.github.io/Logging_2084/kartor/A 26787-2026 karta.png", "A 26787-2026")</f>
        <v/>
      </c>
      <c r="Y23">
        <f>HYPERLINK("https://klasma.github.io/Logging_2084/kartor_geotiff/A 26787-2026 georefererad karta.tif", "A 26787-2026")</f>
        <v/>
      </c>
      <c r="AA23">
        <f>HYPERLINK("https://klasma.github.io/Logging_2084/klagomål/A 26787-2026 FSC-klagomål.docx", "A 26787-2026")</f>
        <v/>
      </c>
      <c r="AB23">
        <f>HYPERLINK("https://klasma.github.io/Logging_2084/klagomålsmail/A 26787-2026 FSC-klagomål mail.docx", "A 26787-2026")</f>
        <v/>
      </c>
      <c r="AC23">
        <f>HYPERLINK("https://klasma.github.io/Logging_2084/tillsyn/A 26787-2026 tillsynsbegäran.docx", "A 26787-2026")</f>
        <v/>
      </c>
      <c r="AD23">
        <f>HYPERLINK("https://klasma.github.io/Logging_2084/tillsynsmail/A 26787-2026 tillsynsbegäran mail.docx", "A 26787-2026")</f>
        <v/>
      </c>
    </row>
    <row r="24" ht="15" customHeight="1">
      <c r="A24" t="inlineStr">
        <is>
          <t>A 1993-2026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46035</v>
      </c>
      <c r="E24" s="1" t="n">
        <v>46238</v>
      </c>
      <c r="F24" t="inlineStr">
        <is>
          <t>DALARNAS LÄN</t>
        </is>
      </c>
      <c r="G24" t="inlineStr">
        <is>
          <t>AVESTA</t>
        </is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HYPERLINK("https://klasma.github.io/Logging_2084/artfynd/A 1993-2026 artfynd.xlsx", "A 1993-2026")</f>
        <v/>
      </c>
      <c r="X24">
        <f>HYPERLINK("https://klasma.github.io/Logging_2084/kartor/A 1993-2026 karta.png", "A 1993-2026")</f>
        <v/>
      </c>
      <c r="Y24">
        <f>HYPERLINK("https://klasma.github.io/Logging_2084/kartor_geotiff/A 1993-2026 georefererad karta.tif", "A 1993-2026")</f>
        <v/>
      </c>
      <c r="AA24">
        <f>HYPERLINK("https://klasma.github.io/Logging_2084/klagomål/A 1993-2026 FSC-klagomål.docx", "A 1993-2026")</f>
        <v/>
      </c>
      <c r="AB24">
        <f>HYPERLINK("https://klasma.github.io/Logging_2084/klagomålsmail/A 1993-2026 FSC-klagomål mail.docx", "A 1993-2026")</f>
        <v/>
      </c>
      <c r="AC24">
        <f>HYPERLINK("https://klasma.github.io/Logging_2084/tillsyn/A 1993-2026 tillsynsbegäran.docx", "A 1993-2026")</f>
        <v/>
      </c>
      <c r="AD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46238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46238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46238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46238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46238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46238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46238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46238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46238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46238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46238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46238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46238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46238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46238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46238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46238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46238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46238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46238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46238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46238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46238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46238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46238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46238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46238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46238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46238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46238</v>
      </c>
      <c r="F55" t="inlineStr">
        <is>
          <t>DALARNAS LÄN</t>
        </is>
      </c>
      <c r="G55" t="inlineStr">
        <is>
          <t>AVESTA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46238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46238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46238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46238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45008</v>
      </c>
      <c r="E60" s="1" t="n">
        <v>46238</v>
      </c>
      <c r="F60" t="inlineStr">
        <is>
          <t>DALARNAS LÄN</t>
        </is>
      </c>
      <c r="G60" t="inlineStr">
        <is>
          <t>AVESTA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46238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46238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46238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46238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46238</v>
      </c>
      <c r="F65" t="inlineStr">
        <is>
          <t>DALARNAS LÄN</t>
        </is>
      </c>
      <c r="G65" t="inlineStr">
        <is>
          <t>AVESTA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46238</v>
      </c>
      <c r="F66" t="inlineStr">
        <is>
          <t>DALARNAS LÄN</t>
        </is>
      </c>
      <c r="G66" t="inlineStr">
        <is>
          <t>AVESTA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45496</v>
      </c>
      <c r="E67" s="1" t="n">
        <v>46238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46238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46238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46238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46238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46238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46238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46238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46238</v>
      </c>
      <c r="F75" t="inlineStr">
        <is>
          <t>DALARNAS LÄN</t>
        </is>
      </c>
      <c r="G75" t="inlineStr">
        <is>
          <t>AVESTA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44684</v>
      </c>
      <c r="E76" s="1" t="n">
        <v>46238</v>
      </c>
      <c r="F76" t="inlineStr">
        <is>
          <t>DALARNAS LÄN</t>
        </is>
      </c>
      <c r="G76" t="inlineStr">
        <is>
          <t>AVESTA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45598</v>
      </c>
      <c r="E77" s="1" t="n">
        <v>46238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46238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46238</v>
      </c>
      <c r="F79" t="inlineStr">
        <is>
          <t>DALARNAS LÄN</t>
        </is>
      </c>
      <c r="G79" t="inlineStr">
        <is>
          <t>AVESTA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46238</v>
      </c>
      <c r="F80" t="inlineStr">
        <is>
          <t>DALARNAS LÄN</t>
        </is>
      </c>
      <c r="G80" t="inlineStr">
        <is>
          <t>AVESTA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45269</v>
      </c>
      <c r="E81" s="1" t="n">
        <v>46238</v>
      </c>
      <c r="F81" t="inlineStr">
        <is>
          <t>DALARNAS LÄN</t>
        </is>
      </c>
      <c r="G81" t="inlineStr">
        <is>
          <t>AVESTA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16522-2025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45751</v>
      </c>
      <c r="E82" s="1" t="n">
        <v>46238</v>
      </c>
      <c r="F82" t="inlineStr">
        <is>
          <t>DALARNAS LÄN</t>
        </is>
      </c>
      <c r="G82" t="inlineStr">
        <is>
          <t>AVESTA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45593</v>
      </c>
      <c r="E83" s="1" t="n">
        <v>46238</v>
      </c>
      <c r="F83" t="inlineStr">
        <is>
          <t>DALARNAS LÄN</t>
        </is>
      </c>
      <c r="G83" t="inlineStr">
        <is>
          <t>AVESTA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46238</v>
      </c>
      <c r="F84" t="inlineStr">
        <is>
          <t>DALARNAS LÄN</t>
        </is>
      </c>
      <c r="G84" t="inlineStr">
        <is>
          <t>AVESTA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31000-2024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45499</v>
      </c>
      <c r="E85" s="1" t="n">
        <v>46238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46238</v>
      </c>
      <c r="F86" t="inlineStr">
        <is>
          <t>DALARNAS LÄN</t>
        </is>
      </c>
      <c r="G86" t="inlineStr">
        <is>
          <t>AVESTA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46238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45348</v>
      </c>
      <c r="E88" s="1" t="n">
        <v>46238</v>
      </c>
      <c r="F88" t="inlineStr">
        <is>
          <t>DALARNAS LÄN</t>
        </is>
      </c>
      <c r="G88" t="inlineStr">
        <is>
          <t>AVESTA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46238</v>
      </c>
      <c r="F89" t="inlineStr">
        <is>
          <t>DALARNAS LÄN</t>
        </is>
      </c>
      <c r="G89" t="inlineStr">
        <is>
          <t>AVESTA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46238</v>
      </c>
      <c r="F90" t="inlineStr">
        <is>
          <t>DALARNAS LÄN</t>
        </is>
      </c>
      <c r="G90" t="inlineStr">
        <is>
          <t>AVESTA</t>
        </is>
      </c>
      <c r="H90" t="inlineStr">
        <is>
          <t>Bergvik skog väst AB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45496</v>
      </c>
      <c r="E91" s="1" t="n">
        <v>46238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46238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44980</v>
      </c>
      <c r="E93" s="1" t="n">
        <v>46238</v>
      </c>
      <c r="F93" t="inlineStr">
        <is>
          <t>DALARNAS LÄN</t>
        </is>
      </c>
      <c r="G93" t="inlineStr">
        <is>
          <t>AVESTA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46238</v>
      </c>
      <c r="F94" t="inlineStr">
        <is>
          <t>DALARNAS LÄN</t>
        </is>
      </c>
      <c r="G94" t="inlineStr">
        <is>
          <t>AVESTA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45863</v>
      </c>
      <c r="E95" s="1" t="n">
        <v>46238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45863</v>
      </c>
      <c r="E96" s="1" t="n">
        <v>46238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46113</v>
      </c>
      <c r="E97" s="1" t="n">
        <v>46238</v>
      </c>
      <c r="F97" t="inlineStr">
        <is>
          <t>DALARNAS LÄN</t>
        </is>
      </c>
      <c r="G97" t="inlineStr">
        <is>
          <t>AVESTA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16824-2026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46113</v>
      </c>
      <c r="E98" s="1" t="n">
        <v>46238</v>
      </c>
      <c r="F98" t="inlineStr">
        <is>
          <t>DALARNAS LÄN</t>
        </is>
      </c>
      <c r="G98" t="inlineStr">
        <is>
          <t>AVESTA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45863</v>
      </c>
      <c r="E99" s="1" t="n">
        <v>46238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46113</v>
      </c>
      <c r="E100" s="1" t="n">
        <v>46238</v>
      </c>
      <c r="F100" t="inlineStr">
        <is>
          <t>DALARNAS LÄN</t>
        </is>
      </c>
      <c r="G100" t="inlineStr">
        <is>
          <t>AVESTA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36178-2025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45867</v>
      </c>
      <c r="E101" s="1" t="n">
        <v>46238</v>
      </c>
      <c r="F101" t="inlineStr">
        <is>
          <t>DALARNAS LÄN</t>
        </is>
      </c>
      <c r="G101" t="inlineStr">
        <is>
          <t>AVESTA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46238</v>
      </c>
      <c r="F102" t="inlineStr">
        <is>
          <t>DALARNAS LÄN</t>
        </is>
      </c>
      <c r="G102" t="inlineStr">
        <is>
          <t>AVESTA</t>
        </is>
      </c>
      <c r="I102" t="n">
        <v>8.4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46113</v>
      </c>
      <c r="E103" s="1" t="n">
        <v>46238</v>
      </c>
      <c r="F103" t="inlineStr">
        <is>
          <t>DALARNAS LÄN</t>
        </is>
      </c>
      <c r="G103" t="inlineStr">
        <is>
          <t>AVESTA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46238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46238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46238</v>
      </c>
      <c r="F106" t="inlineStr">
        <is>
          <t>DALARNAS LÄN</t>
        </is>
      </c>
      <c r="G106" t="inlineStr">
        <is>
          <t>AVESTA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45492</v>
      </c>
      <c r="E107" s="1" t="n">
        <v>46238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46238</v>
      </c>
      <c r="F108" t="inlineStr">
        <is>
          <t>DALARNAS LÄN</t>
        </is>
      </c>
      <c r="G108" t="inlineStr">
        <is>
          <t>AVESTA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46238</v>
      </c>
      <c r="F109" t="inlineStr">
        <is>
          <t>DALARNAS LÄN</t>
        </is>
      </c>
      <c r="G109" t="inlineStr">
        <is>
          <t>AVESTA</t>
        </is>
      </c>
      <c r="I109" t="n">
        <v>14.8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46238</v>
      </c>
      <c r="F110" t="inlineStr">
        <is>
          <t>DALARNAS LÄN</t>
        </is>
      </c>
      <c r="G110" t="inlineStr">
        <is>
          <t>AVESTA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44616</v>
      </c>
      <c r="E111" s="1" t="n">
        <v>46238</v>
      </c>
      <c r="F111" t="inlineStr">
        <is>
          <t>DALARNAS LÄN</t>
        </is>
      </c>
      <c r="G111" t="inlineStr">
        <is>
          <t>AVESTA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46238</v>
      </c>
      <c r="F112" t="inlineStr">
        <is>
          <t>DALARNAS LÄN</t>
        </is>
      </c>
      <c r="G112" t="inlineStr">
        <is>
          <t>AVESTA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50863-2021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46238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46238</v>
      </c>
      <c r="F114" t="inlineStr">
        <is>
          <t>DALARNAS LÄN</t>
        </is>
      </c>
      <c r="G114" t="inlineStr">
        <is>
          <t>AVESTA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46238</v>
      </c>
      <c r="F115" t="inlineStr">
        <is>
          <t>DALARNAS LÄN</t>
        </is>
      </c>
      <c r="G115" t="inlineStr">
        <is>
          <t>AVESTA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45881</v>
      </c>
      <c r="E116" s="1" t="n">
        <v>46238</v>
      </c>
      <c r="F116" t="inlineStr">
        <is>
          <t>DALARNAS LÄN</t>
        </is>
      </c>
      <c r="G116" t="inlineStr">
        <is>
          <t>AVESTA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46238</v>
      </c>
      <c r="F117" t="inlineStr">
        <is>
          <t>DALARNAS LÄN</t>
        </is>
      </c>
      <c r="G117" t="inlineStr">
        <is>
          <t>AVESTA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46238</v>
      </c>
      <c r="F118" t="inlineStr">
        <is>
          <t>DALARNAS LÄN</t>
        </is>
      </c>
      <c r="G118" t="inlineStr">
        <is>
          <t>AVESTA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46238</v>
      </c>
      <c r="F119" t="inlineStr">
        <is>
          <t>DALARNAS LÄN</t>
        </is>
      </c>
      <c r="G119" t="inlineStr">
        <is>
          <t>AVESTA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46238</v>
      </c>
      <c r="F120" t="inlineStr">
        <is>
          <t>DALARNAS LÄN</t>
        </is>
      </c>
      <c r="G120" t="inlineStr">
        <is>
          <t>AVESTA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46238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46238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46238</v>
      </c>
      <c r="F123" t="inlineStr">
        <is>
          <t>DALARNAS LÄN</t>
        </is>
      </c>
      <c r="G123" t="inlineStr">
        <is>
          <t>AVESTA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46238</v>
      </c>
      <c r="F124" t="inlineStr">
        <is>
          <t>DALARNAS LÄN</t>
        </is>
      </c>
      <c r="G124" t="inlineStr">
        <is>
          <t>AVESTA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46238</v>
      </c>
      <c r="F125" t="inlineStr">
        <is>
          <t>DALARNAS LÄN</t>
        </is>
      </c>
      <c r="G125" t="inlineStr">
        <is>
          <t>AVESTA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46238</v>
      </c>
      <c r="F126" t="inlineStr">
        <is>
          <t>DALARNAS LÄN</t>
        </is>
      </c>
      <c r="G126" t="inlineStr">
        <is>
          <t>AVESTA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46238</v>
      </c>
      <c r="F127" t="inlineStr">
        <is>
          <t>DALARNAS LÄN</t>
        </is>
      </c>
      <c r="G127" t="inlineStr">
        <is>
          <t>AVESTA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46238</v>
      </c>
      <c r="F128" t="inlineStr">
        <is>
          <t>DALARNAS LÄN</t>
        </is>
      </c>
      <c r="G128" t="inlineStr">
        <is>
          <t>AVESTA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46128</v>
      </c>
      <c r="E129" s="1" t="n">
        <v>46238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46238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45611</v>
      </c>
      <c r="E131" s="1" t="n">
        <v>46238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18679-2026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46128</v>
      </c>
      <c r="E132" s="1" t="n">
        <v>46238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44746</v>
      </c>
      <c r="E133" s="1" t="n">
        <v>46238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46238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43172-2025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45910</v>
      </c>
      <c r="E135" s="1" t="n">
        <v>46238</v>
      </c>
      <c r="F135" t="inlineStr">
        <is>
          <t>DALARNAS LÄN</t>
        </is>
      </c>
      <c r="G135" t="inlineStr">
        <is>
          <t>AVESTA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46238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45007</v>
      </c>
      <c r="E137" s="1" t="n">
        <v>46238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46238</v>
      </c>
      <c r="F138" t="inlineStr">
        <is>
          <t>DALARNAS LÄN</t>
        </is>
      </c>
      <c r="G138" t="inlineStr">
        <is>
          <t>AVESTA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38441-2023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46238</v>
      </c>
      <c r="F139" t="inlineStr">
        <is>
          <t>DALARNAS LÄN</t>
        </is>
      </c>
      <c r="G139" t="inlineStr">
        <is>
          <t>AVESTA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46238</v>
      </c>
      <c r="F140" t="inlineStr">
        <is>
          <t>DALARNAS LÄN</t>
        </is>
      </c>
      <c r="G140" t="inlineStr">
        <is>
          <t>AVESTA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46238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46238</v>
      </c>
      <c r="F142" t="inlineStr">
        <is>
          <t>DALARNAS LÄN</t>
        </is>
      </c>
      <c r="G142" t="inlineStr">
        <is>
          <t>AVESTA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46238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50682-2024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45602</v>
      </c>
      <c r="E144" s="1" t="n">
        <v>46238</v>
      </c>
      <c r="F144" t="inlineStr">
        <is>
          <t>DALARNAS LÄN</t>
        </is>
      </c>
      <c r="G144" t="inlineStr">
        <is>
          <t>AVESTA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46238</v>
      </c>
      <c r="F145" t="inlineStr">
        <is>
          <t>DALARNAS LÄN</t>
        </is>
      </c>
      <c r="G145" t="inlineStr">
        <is>
          <t>AVESTA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10957-2024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45370</v>
      </c>
      <c r="E146" s="1" t="n">
        <v>46238</v>
      </c>
      <c r="F146" t="inlineStr">
        <is>
          <t>DALARNAS LÄN</t>
        </is>
      </c>
      <c r="G146" t="inlineStr">
        <is>
          <t>AVESTA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46135</v>
      </c>
      <c r="E147" s="1" t="n">
        <v>46238</v>
      </c>
      <c r="F147" t="inlineStr">
        <is>
          <t>DALARNAS LÄN</t>
        </is>
      </c>
      <c r="G147" t="inlineStr">
        <is>
          <t>AVESTA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46238</v>
      </c>
      <c r="F148" t="inlineStr">
        <is>
          <t>DALARNAS LÄN</t>
        </is>
      </c>
      <c r="G148" t="inlineStr">
        <is>
          <t>AVESTA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45866</v>
      </c>
      <c r="E149" s="1" t="n">
        <v>46238</v>
      </c>
      <c r="F149" t="inlineStr">
        <is>
          <t>DALARNAS LÄN</t>
        </is>
      </c>
      <c r="G149" t="inlineStr">
        <is>
          <t>AVESTA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46238</v>
      </c>
      <c r="F150" t="inlineStr">
        <is>
          <t>DALARNAS LÄN</t>
        </is>
      </c>
      <c r="G150" t="inlineStr">
        <is>
          <t>AVESTA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46238</v>
      </c>
      <c r="F151" t="inlineStr">
        <is>
          <t>DALARNAS LÄN</t>
        </is>
      </c>
      <c r="G151" t="inlineStr">
        <is>
          <t>AVESTA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46238</v>
      </c>
      <c r="F152" t="inlineStr">
        <is>
          <t>DALARNAS LÄN</t>
        </is>
      </c>
      <c r="G152" t="inlineStr">
        <is>
          <t>AVESTA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46238</v>
      </c>
      <c r="F153" t="inlineStr">
        <is>
          <t>DALARNAS LÄN</t>
        </is>
      </c>
      <c r="G153" t="inlineStr">
        <is>
          <t>AVESTA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46238</v>
      </c>
      <c r="F154" t="inlineStr">
        <is>
          <t>DALARNAS LÄN</t>
        </is>
      </c>
      <c r="G154" t="inlineStr">
        <is>
          <t>AVESTA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45505</v>
      </c>
      <c r="E155" s="1" t="n">
        <v>46238</v>
      </c>
      <c r="F155" t="inlineStr">
        <is>
          <t>DALARNAS LÄN</t>
        </is>
      </c>
      <c r="G155" t="inlineStr">
        <is>
          <t>AVESTA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46238</v>
      </c>
      <c r="F156" t="inlineStr">
        <is>
          <t>DALARNAS LÄN</t>
        </is>
      </c>
      <c r="G156" t="inlineStr">
        <is>
          <t>AVESTA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44971</v>
      </c>
      <c r="E157" s="1" t="n">
        <v>46238</v>
      </c>
      <c r="F157" t="inlineStr">
        <is>
          <t>DALARNAS LÄN</t>
        </is>
      </c>
      <c r="G157" t="inlineStr">
        <is>
          <t>AVESTA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46238</v>
      </c>
      <c r="F158" t="inlineStr">
        <is>
          <t>DALARNAS LÄN</t>
        </is>
      </c>
      <c r="G158" t="inlineStr">
        <is>
          <t>AVESTA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46238</v>
      </c>
      <c r="F159" t="inlineStr">
        <is>
          <t>DALARNAS LÄN</t>
        </is>
      </c>
      <c r="G159" t="inlineStr">
        <is>
          <t>AVESTA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45944</v>
      </c>
      <c r="E160" s="1" t="n">
        <v>46238</v>
      </c>
      <c r="F160" t="inlineStr">
        <is>
          <t>DALARNAS LÄN</t>
        </is>
      </c>
      <c r="G160" t="inlineStr">
        <is>
          <t>AVESTA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45138</v>
      </c>
      <c r="E161" s="1" t="n">
        <v>46238</v>
      </c>
      <c r="F161" t="inlineStr">
        <is>
          <t>DALARNAS LÄN</t>
        </is>
      </c>
      <c r="G161" t="inlineStr">
        <is>
          <t>AVESTA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46238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45948</v>
      </c>
      <c r="E163" s="1" t="n">
        <v>46238</v>
      </c>
      <c r="F163" t="inlineStr">
        <is>
          <t>DALARNAS LÄN</t>
        </is>
      </c>
      <c r="G163" t="inlineStr">
        <is>
          <t>AVESTA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45948</v>
      </c>
      <c r="E164" s="1" t="n">
        <v>46238</v>
      </c>
      <c r="F164" t="inlineStr">
        <is>
          <t>DALARNAS LÄN</t>
        </is>
      </c>
      <c r="G164" t="inlineStr">
        <is>
          <t>AVESTA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46238</v>
      </c>
      <c r="F165" t="inlineStr">
        <is>
          <t>DALARNAS LÄN</t>
        </is>
      </c>
      <c r="G165" t="inlineStr">
        <is>
          <t>AVESTA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32113-2024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45511</v>
      </c>
      <c r="E166" s="1" t="n">
        <v>46238</v>
      </c>
      <c r="F166" t="inlineStr">
        <is>
          <t>DALARNAS LÄN</t>
        </is>
      </c>
      <c r="G166" t="inlineStr">
        <is>
          <t>AVESTA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45496</v>
      </c>
      <c r="E167" s="1" t="n">
        <v>46238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45457</v>
      </c>
      <c r="E168" s="1" t="n">
        <v>46238</v>
      </c>
      <c r="F168" t="inlineStr">
        <is>
          <t>DALARNAS LÄN</t>
        </is>
      </c>
      <c r="G168" t="inlineStr">
        <is>
          <t>AVESTA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46238</v>
      </c>
      <c r="F169" t="inlineStr">
        <is>
          <t>DALARNAS LÄN</t>
        </is>
      </c>
      <c r="G169" t="inlineStr">
        <is>
          <t>AVESTA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45321</v>
      </c>
      <c r="E170" s="1" t="n">
        <v>46238</v>
      </c>
      <c r="F170" t="inlineStr">
        <is>
          <t>DALARNAS LÄN</t>
        </is>
      </c>
      <c r="G170" t="inlineStr">
        <is>
          <t>AVESTA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45044</v>
      </c>
      <c r="E171" s="1" t="n">
        <v>46238</v>
      </c>
      <c r="F171" t="inlineStr">
        <is>
          <t>DALARNAS LÄN</t>
        </is>
      </c>
      <c r="G171" t="inlineStr">
        <is>
          <t>AVESTA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44972</v>
      </c>
      <c r="E172" s="1" t="n">
        <v>46238</v>
      </c>
      <c r="F172" t="inlineStr">
        <is>
          <t>DALARNAS LÄN</t>
        </is>
      </c>
      <c r="G172" t="inlineStr">
        <is>
          <t>AVESTA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46238</v>
      </c>
      <c r="F173" t="inlineStr">
        <is>
          <t>DALARNAS LÄN</t>
        </is>
      </c>
      <c r="G173" t="inlineStr">
        <is>
          <t>AVESTA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46238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45269</v>
      </c>
      <c r="E175" s="1" t="n">
        <v>46238</v>
      </c>
      <c r="F175" t="inlineStr">
        <is>
          <t>DALARNAS LÄN</t>
        </is>
      </c>
      <c r="G175" t="inlineStr">
        <is>
          <t>AVESTA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46238</v>
      </c>
      <c r="F176" t="inlineStr">
        <is>
          <t>DALARNAS LÄN</t>
        </is>
      </c>
      <c r="G176" t="inlineStr">
        <is>
          <t>AVESTA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46238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46238</v>
      </c>
      <c r="F178" t="inlineStr">
        <is>
          <t>DALARNAS LÄN</t>
        </is>
      </c>
      <c r="G178" t="inlineStr">
        <is>
          <t>AVESTA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45007</v>
      </c>
      <c r="E179" s="1" t="n">
        <v>46238</v>
      </c>
      <c r="F179" t="inlineStr">
        <is>
          <t>DALARNAS LÄN</t>
        </is>
      </c>
      <c r="G179" t="inlineStr">
        <is>
          <t>AVESTA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45912</v>
      </c>
      <c r="E180" s="1" t="n">
        <v>46238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46238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46238</v>
      </c>
      <c r="F182" t="inlineStr">
        <is>
          <t>DALARNAS LÄN</t>
        </is>
      </c>
      <c r="G182" t="inlineStr">
        <is>
          <t>AVESTA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46238</v>
      </c>
      <c r="F183" t="inlineStr">
        <is>
          <t>DALARNAS LÄN</t>
        </is>
      </c>
      <c r="G183" t="inlineStr">
        <is>
          <t>AVESTA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46238</v>
      </c>
      <c r="F184" t="inlineStr">
        <is>
          <t>DALARNAS LÄN</t>
        </is>
      </c>
      <c r="G184" t="inlineStr">
        <is>
          <t>AVESTA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45719</v>
      </c>
      <c r="E185" s="1" t="n">
        <v>46238</v>
      </c>
      <c r="F185" t="inlineStr">
        <is>
          <t>DALARNAS LÄN</t>
        </is>
      </c>
      <c r="G185" t="inlineStr">
        <is>
          <t>AVESTA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46238</v>
      </c>
      <c r="F186" t="inlineStr">
        <is>
          <t>DALARNAS LÄN</t>
        </is>
      </c>
      <c r="G186" t="inlineStr">
        <is>
          <t>AVESTA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45453</v>
      </c>
      <c r="E187" s="1" t="n">
        <v>46238</v>
      </c>
      <c r="F187" t="inlineStr">
        <is>
          <t>DALARNAS LÄN</t>
        </is>
      </c>
      <c r="G187" t="inlineStr">
        <is>
          <t>AVESTA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46238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46238</v>
      </c>
      <c r="F189" t="inlineStr">
        <is>
          <t>DALARNAS LÄN</t>
        </is>
      </c>
      <c r="G189" t="inlineStr">
        <is>
          <t>AVESTA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45497</v>
      </c>
      <c r="E190" s="1" t="n">
        <v>46238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46238</v>
      </c>
      <c r="F191" t="inlineStr">
        <is>
          <t>DALARNAS LÄN</t>
        </is>
      </c>
      <c r="G191" t="inlineStr">
        <is>
          <t>AVESTA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45734</v>
      </c>
      <c r="E192" s="1" t="n">
        <v>46238</v>
      </c>
      <c r="F192" t="inlineStr">
        <is>
          <t>DALARNAS LÄN</t>
        </is>
      </c>
      <c r="G192" t="inlineStr">
        <is>
          <t>AVESTA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46238</v>
      </c>
      <c r="F193" t="inlineStr">
        <is>
          <t>DALARNAS LÄN</t>
        </is>
      </c>
      <c r="G193" t="inlineStr">
        <is>
          <t>AVESTA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46238</v>
      </c>
      <c r="F194" t="inlineStr">
        <is>
          <t>DALARNAS LÄN</t>
        </is>
      </c>
      <c r="G194" t="inlineStr">
        <is>
          <t>AVESTA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46238</v>
      </c>
      <c r="F195" t="inlineStr">
        <is>
          <t>DALARNAS LÄN</t>
        </is>
      </c>
      <c r="G195" t="inlineStr">
        <is>
          <t>AVESTA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46238</v>
      </c>
      <c r="F196" t="inlineStr">
        <is>
          <t>DALARNAS LÄN</t>
        </is>
      </c>
      <c r="G196" t="inlineStr">
        <is>
          <t>AVESTA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46238</v>
      </c>
      <c r="F197" t="inlineStr">
        <is>
          <t>DALARNAS LÄN</t>
        </is>
      </c>
      <c r="G197" t="inlineStr">
        <is>
          <t>AVESTA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45441</v>
      </c>
      <c r="E198" s="1" t="n">
        <v>46238</v>
      </c>
      <c r="F198" t="inlineStr">
        <is>
          <t>DALARNAS LÄN</t>
        </is>
      </c>
      <c r="G198" t="inlineStr">
        <is>
          <t>AVESTA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46238</v>
      </c>
      <c r="F199" t="inlineStr">
        <is>
          <t>DALARNAS LÄN</t>
        </is>
      </c>
      <c r="G199" t="inlineStr">
        <is>
          <t>AVESTA</t>
        </is>
      </c>
      <c r="I199" t="n">
        <v>17.6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46238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46238</v>
      </c>
      <c r="F201" t="inlineStr">
        <is>
          <t>DALARNAS LÄN</t>
        </is>
      </c>
      <c r="G201" t="inlineStr">
        <is>
          <t>AVESTA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45330</v>
      </c>
      <c r="E202" s="1" t="n">
        <v>46238</v>
      </c>
      <c r="F202" t="inlineStr">
        <is>
          <t>DALARNAS LÄN</t>
        </is>
      </c>
      <c r="G202" t="inlineStr">
        <is>
          <t>AVESTA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46238</v>
      </c>
      <c r="F203" t="inlineStr">
        <is>
          <t>DALARNAS LÄN</t>
        </is>
      </c>
      <c r="G203" t="inlineStr">
        <is>
          <t>AVESTA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46146</v>
      </c>
      <c r="E204" s="1" t="n">
        <v>46238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46238</v>
      </c>
      <c r="F205" t="inlineStr">
        <is>
          <t>DALARNAS LÄN</t>
        </is>
      </c>
      <c r="G205" t="inlineStr">
        <is>
          <t>AVESTA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46238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46238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46238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45274</v>
      </c>
      <c r="E209" s="1" t="n">
        <v>46238</v>
      </c>
      <c r="F209" t="inlineStr">
        <is>
          <t>DALARNAS LÄN</t>
        </is>
      </c>
      <c r="G209" t="inlineStr">
        <is>
          <t>AVESTA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46238</v>
      </c>
      <c r="F210" t="inlineStr">
        <is>
          <t>DALARNAS LÄN</t>
        </is>
      </c>
      <c r="G210" t="inlineStr">
        <is>
          <t>AVESTA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46238</v>
      </c>
      <c r="F211" t="inlineStr">
        <is>
          <t>DALARNAS LÄN</t>
        </is>
      </c>
      <c r="G211" t="inlineStr">
        <is>
          <t>AVESTA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46238</v>
      </c>
      <c r="F212" t="inlineStr">
        <is>
          <t>DALARNAS LÄN</t>
        </is>
      </c>
      <c r="G212" t="inlineStr">
        <is>
          <t>AVESTA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46238</v>
      </c>
      <c r="F213" t="inlineStr">
        <is>
          <t>DALARNAS LÄN</t>
        </is>
      </c>
      <c r="G213" t="inlineStr">
        <is>
          <t>AVESTA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46238</v>
      </c>
      <c r="F214" t="inlineStr">
        <is>
          <t>DALARNAS LÄN</t>
        </is>
      </c>
      <c r="G214" t="inlineStr">
        <is>
          <t>AVESTA</t>
        </is>
      </c>
      <c r="H214" t="inlineStr">
        <is>
          <t>Bergvik skog väst AB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46238</v>
      </c>
      <c r="F215" t="inlineStr">
        <is>
          <t>DALARNAS LÄN</t>
        </is>
      </c>
      <c r="G215" t="inlineStr">
        <is>
          <t>AVESTA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46238</v>
      </c>
      <c r="F216" t="inlineStr">
        <is>
          <t>DALARNAS LÄN</t>
        </is>
      </c>
      <c r="G216" t="inlineStr">
        <is>
          <t>AVESTA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46238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45505</v>
      </c>
      <c r="E218" s="1" t="n">
        <v>46238</v>
      </c>
      <c r="F218" t="inlineStr">
        <is>
          <t>DALARNAS LÄN</t>
        </is>
      </c>
      <c r="G218" t="inlineStr">
        <is>
          <t>AVESTA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46238</v>
      </c>
      <c r="F219" t="inlineStr">
        <is>
          <t>DALARNAS LÄN</t>
        </is>
      </c>
      <c r="G219" t="inlineStr">
        <is>
          <t>AVESTA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46238</v>
      </c>
      <c r="F220" t="inlineStr">
        <is>
          <t>DALARNAS LÄN</t>
        </is>
      </c>
      <c r="G220" t="inlineStr">
        <is>
          <t>AVESTA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46238</v>
      </c>
      <c r="F221" t="inlineStr">
        <is>
          <t>DALARNAS LÄN</t>
        </is>
      </c>
      <c r="G221" t="inlineStr">
        <is>
          <t>AVESTA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46238</v>
      </c>
      <c r="F222" t="inlineStr">
        <is>
          <t>DALARNAS LÄN</t>
        </is>
      </c>
      <c r="G222" t="inlineStr">
        <is>
          <t>AVESTA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46238</v>
      </c>
      <c r="F223" t="inlineStr">
        <is>
          <t>DALARNAS LÄN</t>
        </is>
      </c>
      <c r="G223" t="inlineStr">
        <is>
          <t>AVESTA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46238</v>
      </c>
      <c r="F224" t="inlineStr">
        <is>
          <t>DALARNAS LÄN</t>
        </is>
      </c>
      <c r="G224" t="inlineStr">
        <is>
          <t>AVESTA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46238</v>
      </c>
      <c r="F225" t="inlineStr">
        <is>
          <t>DALARNAS LÄN</t>
        </is>
      </c>
      <c r="G225" t="inlineStr">
        <is>
          <t>AVESTA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46196</v>
      </c>
      <c r="E226" s="1" t="n">
        <v>46238</v>
      </c>
      <c r="F226" t="inlineStr">
        <is>
          <t>DALARNAS LÄN</t>
        </is>
      </c>
      <c r="G226" t="inlineStr">
        <is>
          <t>AVESTA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45015</v>
      </c>
      <c r="E227" s="1" t="n">
        <v>46238</v>
      </c>
      <c r="F227" t="inlineStr">
        <is>
          <t>DALARNAS LÄN</t>
        </is>
      </c>
      <c r="G227" t="inlineStr">
        <is>
          <t>AVESTA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46238</v>
      </c>
      <c r="F228" t="inlineStr">
        <is>
          <t>DALARNAS LÄN</t>
        </is>
      </c>
      <c r="G228" t="inlineStr">
        <is>
          <t>AVESTA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46238</v>
      </c>
      <c r="F229" t="inlineStr">
        <is>
          <t>DALARNAS LÄN</t>
        </is>
      </c>
      <c r="G229" t="inlineStr">
        <is>
          <t>AVESTA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46238</v>
      </c>
      <c r="F230" t="inlineStr">
        <is>
          <t>DALARNAS LÄN</t>
        </is>
      </c>
      <c r="G230" t="inlineStr">
        <is>
          <t>AVESTA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46238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46238</v>
      </c>
      <c r="F232" t="inlineStr">
        <is>
          <t>DALARNAS LÄN</t>
        </is>
      </c>
      <c r="G232" t="inlineStr">
        <is>
          <t>AVESTA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46238</v>
      </c>
      <c r="F233" t="inlineStr">
        <is>
          <t>DALARNAS LÄN</t>
        </is>
      </c>
      <c r="G233" t="inlineStr">
        <is>
          <t>AVESTA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46155</v>
      </c>
      <c r="E234" s="1" t="n">
        <v>46238</v>
      </c>
      <c r="F234" t="inlineStr">
        <is>
          <t>DALARNAS LÄN</t>
        </is>
      </c>
      <c r="G234" t="inlineStr">
        <is>
          <t>AVESTA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46238</v>
      </c>
      <c r="F235" t="inlineStr">
        <is>
          <t>DALARNAS LÄN</t>
        </is>
      </c>
      <c r="G235" t="inlineStr">
        <is>
          <t>AVESTA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46238</v>
      </c>
      <c r="F236" t="inlineStr">
        <is>
          <t>DALARNAS LÄN</t>
        </is>
      </c>
      <c r="G236" t="inlineStr">
        <is>
          <t>AVESTA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46238</v>
      </c>
      <c r="F237" t="inlineStr">
        <is>
          <t>DALARNAS LÄN</t>
        </is>
      </c>
      <c r="G237" t="inlineStr">
        <is>
          <t>AVESTA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19359-2025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45769</v>
      </c>
      <c r="E238" s="1" t="n">
        <v>46238</v>
      </c>
      <c r="F238" t="inlineStr">
        <is>
          <t>DALARNAS LÄN</t>
        </is>
      </c>
      <c r="G238" t="inlineStr">
        <is>
          <t>AVESTA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46238</v>
      </c>
      <c r="F239" t="inlineStr">
        <is>
          <t>DALARNAS LÄN</t>
        </is>
      </c>
      <c r="G239" t="inlineStr">
        <is>
          <t>AVESTA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46238</v>
      </c>
      <c r="F240" t="inlineStr">
        <is>
          <t>DALARNAS LÄN</t>
        </is>
      </c>
      <c r="G240" t="inlineStr">
        <is>
          <t>AVESTA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46238</v>
      </c>
      <c r="F241" t="inlineStr">
        <is>
          <t>DALARNAS LÄN</t>
        </is>
      </c>
      <c r="G241" t="inlineStr">
        <is>
          <t>AVESTA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46238</v>
      </c>
      <c r="F242" t="inlineStr">
        <is>
          <t>DALARNAS LÄN</t>
        </is>
      </c>
      <c r="G242" t="inlineStr">
        <is>
          <t>AVESTA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46238</v>
      </c>
      <c r="F243" t="inlineStr">
        <is>
          <t>DALARNAS LÄN</t>
        </is>
      </c>
      <c r="G243" t="inlineStr">
        <is>
          <t>AVESTA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46238</v>
      </c>
      <c r="F244" t="inlineStr">
        <is>
          <t>DALARNAS LÄN</t>
        </is>
      </c>
      <c r="G244" t="inlineStr">
        <is>
          <t>AVESTA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46238</v>
      </c>
      <c r="F245" t="inlineStr">
        <is>
          <t>DALARNAS LÄN</t>
        </is>
      </c>
      <c r="G245" t="inlineStr">
        <is>
          <t>AVESTA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29996-2026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46205</v>
      </c>
      <c r="E246" s="1" t="n">
        <v>46238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46238</v>
      </c>
      <c r="F247" t="inlineStr">
        <is>
          <t>DALARNAS LÄN</t>
        </is>
      </c>
      <c r="G247" t="inlineStr">
        <is>
          <t>AVESTA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46238</v>
      </c>
      <c r="F248" t="inlineStr">
        <is>
          <t>DALARNAS LÄN</t>
        </is>
      </c>
      <c r="G248" t="inlineStr">
        <is>
          <t>AVESTA</t>
        </is>
      </c>
      <c r="H248" t="inlineStr">
        <is>
          <t>Bergvik skog väst AB</t>
        </is>
      </c>
      <c r="I248" t="n">
        <v>12.2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46238</v>
      </c>
      <c r="F249" t="inlineStr">
        <is>
          <t>DALARNAS LÄN</t>
        </is>
      </c>
      <c r="G249" t="inlineStr">
        <is>
          <t>AVESTA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46238</v>
      </c>
      <c r="F250" t="inlineStr">
        <is>
          <t>DALARNAS LÄN</t>
        </is>
      </c>
      <c r="G250" t="inlineStr">
        <is>
          <t>AVESTA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46238</v>
      </c>
      <c r="F251" t="inlineStr">
        <is>
          <t>DALARNAS LÄN</t>
        </is>
      </c>
      <c r="G251" t="inlineStr">
        <is>
          <t>AVESTA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46238</v>
      </c>
      <c r="F252" t="inlineStr">
        <is>
          <t>DALARNAS LÄN</t>
        </is>
      </c>
      <c r="G252" t="inlineStr">
        <is>
          <t>AVESTA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46238</v>
      </c>
      <c r="F253" t="inlineStr">
        <is>
          <t>DALARNAS LÄN</t>
        </is>
      </c>
      <c r="G253" t="inlineStr">
        <is>
          <t>AVESTA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45231</v>
      </c>
      <c r="E254" s="1" t="n">
        <v>46238</v>
      </c>
      <c r="F254" t="inlineStr">
        <is>
          <t>DALARNAS LÄN</t>
        </is>
      </c>
      <c r="G254" t="inlineStr">
        <is>
          <t>AVESTA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46238</v>
      </c>
      <c r="F255" t="inlineStr">
        <is>
          <t>DALARNAS LÄN</t>
        </is>
      </c>
      <c r="G255" t="inlineStr">
        <is>
          <t>AVESTA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21412-2023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45058</v>
      </c>
      <c r="E256" s="1" t="n">
        <v>46238</v>
      </c>
      <c r="F256" t="inlineStr">
        <is>
          <t>DALARNAS LÄN</t>
        </is>
      </c>
      <c r="G256" t="inlineStr">
        <is>
          <t>AVESTA</t>
        </is>
      </c>
      <c r="H256" t="inlineStr">
        <is>
          <t>Bergvik skog väst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46238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45583</v>
      </c>
      <c r="E258" s="1" t="n">
        <v>46238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45549</v>
      </c>
      <c r="E259" s="1" t="n">
        <v>46238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46175</v>
      </c>
      <c r="E260" s="1" t="n">
        <v>46238</v>
      </c>
      <c r="F260" t="inlineStr">
        <is>
          <t>DALARNAS LÄN</t>
        </is>
      </c>
      <c r="G260" t="inlineStr">
        <is>
          <t>AVESTA</t>
        </is>
      </c>
      <c r="I260" t="n">
        <v>19.2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44433</v>
      </c>
      <c r="E261" s="1" t="n">
        <v>46238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46238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46238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11825-2026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46085</v>
      </c>
      <c r="E264" s="1" t="n">
        <v>46238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46124</v>
      </c>
      <c r="E265" s="1" t="n">
        <v>46238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46238</v>
      </c>
      <c r="F266" t="inlineStr">
        <is>
          <t>DALARNAS LÄN</t>
        </is>
      </c>
      <c r="G266" t="inlineStr">
        <is>
          <t>AVESTA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26337-2026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46182</v>
      </c>
      <c r="E267" s="1" t="n">
        <v>46238</v>
      </c>
      <c r="F267" t="inlineStr">
        <is>
          <t>DALARNAS LÄN</t>
        </is>
      </c>
      <c r="G267" t="inlineStr">
        <is>
          <t>AVESTA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44613</v>
      </c>
      <c r="E268" s="1" t="n">
        <v>46238</v>
      </c>
      <c r="F268" t="inlineStr">
        <is>
          <t>DALARNAS LÄN</t>
        </is>
      </c>
      <c r="G268" t="inlineStr">
        <is>
          <t>AVESTA</t>
        </is>
      </c>
      <c r="I268" t="n">
        <v>12.9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46238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46223</v>
      </c>
      <c r="E270" s="1" t="n">
        <v>46238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21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46238</v>
      </c>
      <c r="F271" t="inlineStr">
        <is>
          <t>DALARNAS LÄN</t>
        </is>
      </c>
      <c r="G271" t="inlineStr">
        <is>
          <t>AVESTA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44840</v>
      </c>
      <c r="E272" s="1" t="n">
        <v>46238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46238</v>
      </c>
      <c r="F273" t="inlineStr">
        <is>
          <t>DALARNAS LÄN</t>
        </is>
      </c>
      <c r="G273" t="inlineStr">
        <is>
          <t>AVESTA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46238</v>
      </c>
      <c r="F274" t="inlineStr">
        <is>
          <t>DALARNAS LÄN</t>
        </is>
      </c>
      <c r="G274" t="inlineStr">
        <is>
          <t>AVESTA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46238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46238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26816-2026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46238</v>
      </c>
      <c r="F277" t="inlineStr">
        <is>
          <t>DALARNAS LÄN</t>
        </is>
      </c>
      <c r="G277" t="inlineStr">
        <is>
          <t>AVESTA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46238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45369</v>
      </c>
      <c r="E279" s="1" t="n">
        <v>46238</v>
      </c>
      <c r="F279" t="inlineStr">
        <is>
          <t>DALARNAS LÄN</t>
        </is>
      </c>
      <c r="G279" t="inlineStr">
        <is>
          <t>AVESTA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44875</v>
      </c>
      <c r="E280" s="1" t="n">
        <v>46238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46238</v>
      </c>
      <c r="F281" t="inlineStr">
        <is>
          <t>DALARNAS LÄN</t>
        </is>
      </c>
      <c r="G281" t="inlineStr">
        <is>
          <t>AVESTA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46238</v>
      </c>
      <c r="F282" t="inlineStr">
        <is>
          <t>DALARNAS LÄN</t>
        </is>
      </c>
      <c r="G282" t="inlineStr">
        <is>
          <t>AVESTA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46238</v>
      </c>
      <c r="F283" t="inlineStr">
        <is>
          <t>DALARNAS LÄN</t>
        </is>
      </c>
      <c r="G283" t="inlineStr">
        <is>
          <t>AVESTA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50681-2024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45602</v>
      </c>
      <c r="E284" s="1" t="n">
        <v>46238</v>
      </c>
      <c r="F284" t="inlineStr">
        <is>
          <t>DALARNAS LÄN</t>
        </is>
      </c>
      <c r="G284" t="inlineStr">
        <is>
          <t>AVESTA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46238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45538</v>
      </c>
      <c r="E286" s="1" t="n">
        <v>46238</v>
      </c>
      <c r="F286" t="inlineStr">
        <is>
          <t>DALARNAS LÄN</t>
        </is>
      </c>
      <c r="G286" t="inlineStr">
        <is>
          <t>AVESTA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56536-2024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46238</v>
      </c>
      <c r="F287" t="inlineStr">
        <is>
          <t>DALARNAS LÄN</t>
        </is>
      </c>
      <c r="G287" t="inlineStr">
        <is>
          <t>AVESTA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46238</v>
      </c>
      <c r="F288" t="inlineStr">
        <is>
          <t>DALARNAS LÄN</t>
        </is>
      </c>
      <c r="G288" t="inlineStr">
        <is>
          <t>AVESTA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46238</v>
      </c>
      <c r="F289" t="inlineStr">
        <is>
          <t>DALARNAS LÄN</t>
        </is>
      </c>
      <c r="G289" t="inlineStr">
        <is>
          <t>AVESTA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45078</v>
      </c>
      <c r="E290" s="1" t="n">
        <v>46238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32770-2023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45123</v>
      </c>
      <c r="E291" s="1" t="n">
        <v>46238</v>
      </c>
      <c r="F291" t="inlineStr">
        <is>
          <t>DALARNAS LÄN</t>
        </is>
      </c>
      <c r="G291" t="inlineStr">
        <is>
          <t>AVESTA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46238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46238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46238</v>
      </c>
      <c r="F294" t="inlineStr">
        <is>
          <t>DALARNAS LÄN</t>
        </is>
      </c>
      <c r="G294" t="inlineStr">
        <is>
          <t>AVESTA</t>
        </is>
      </c>
      <c r="H294" t="inlineStr">
        <is>
          <t>Bergvik skog väst AB</t>
        </is>
      </c>
      <c r="I294" t="n">
        <v>37.2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45453</v>
      </c>
      <c r="E295" s="1" t="n">
        <v>46238</v>
      </c>
      <c r="F295" t="inlineStr">
        <is>
          <t>DALARNAS LÄN</t>
        </is>
      </c>
      <c r="G295" t="inlineStr">
        <is>
          <t>AVESTA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45639</v>
      </c>
      <c r="E296" s="1" t="n">
        <v>46238</v>
      </c>
      <c r="F296" t="inlineStr">
        <is>
          <t>DALARNAS LÄN</t>
        </is>
      </c>
      <c r="G296" t="inlineStr">
        <is>
          <t>AVESTA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20942-2025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45777</v>
      </c>
      <c r="E297" s="1" t="n">
        <v>46238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46238</v>
      </c>
      <c r="F298" t="inlineStr">
        <is>
          <t>DALARNAS LÄN</t>
        </is>
      </c>
      <c r="G298" t="inlineStr">
        <is>
          <t>AVESTA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46238</v>
      </c>
      <c r="F299" t="inlineStr">
        <is>
          <t>DALARNAS LÄN</t>
        </is>
      </c>
      <c r="G299" t="inlineStr">
        <is>
          <t>AVESTA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46238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45510</v>
      </c>
      <c r="E301" s="1" t="n">
        <v>46238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46238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46238</v>
      </c>
      <c r="F303" t="inlineStr">
        <is>
          <t>DALARNAS LÄN</t>
        </is>
      </c>
      <c r="G303" t="inlineStr">
        <is>
          <t>AVESTA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46238</v>
      </c>
      <c r="F304" t="inlineStr">
        <is>
          <t>DALARNAS LÄN</t>
        </is>
      </c>
      <c r="G304" t="inlineStr">
        <is>
          <t>AVESTA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46238</v>
      </c>
      <c r="F305" t="inlineStr">
        <is>
          <t>DALARNAS LÄN</t>
        </is>
      </c>
      <c r="G305" t="inlineStr">
        <is>
          <t>AVESTA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46238</v>
      </c>
      <c r="F306" t="inlineStr">
        <is>
          <t>DALARNAS LÄN</t>
        </is>
      </c>
      <c r="G306" t="inlineStr">
        <is>
          <t>AVESTA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46238</v>
      </c>
      <c r="F307" t="inlineStr">
        <is>
          <t>DALARNAS LÄN</t>
        </is>
      </c>
      <c r="G307" t="inlineStr">
        <is>
          <t>AVESTA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46238</v>
      </c>
      <c r="F308" t="inlineStr">
        <is>
          <t>DALARNAS LÄN</t>
        </is>
      </c>
      <c r="G308" t="inlineStr">
        <is>
          <t>AVESTA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46238</v>
      </c>
      <c r="F309" t="inlineStr">
        <is>
          <t>DALARNAS LÄN</t>
        </is>
      </c>
      <c r="G309" t="inlineStr">
        <is>
          <t>AVESTA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46238</v>
      </c>
      <c r="F310" t="inlineStr">
        <is>
          <t>DALARNAS LÄN</t>
        </is>
      </c>
      <c r="G310" t="inlineStr">
        <is>
          <t>AVESTA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62093-2024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45656</v>
      </c>
      <c r="E311" s="1" t="n">
        <v>46238</v>
      </c>
      <c r="F311" t="inlineStr">
        <is>
          <t>DALARNAS LÄN</t>
        </is>
      </c>
      <c r="G311" t="inlineStr">
        <is>
          <t>AVESTA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46238</v>
      </c>
      <c r="F312" t="inlineStr">
        <is>
          <t>DALARNAS LÄN</t>
        </is>
      </c>
      <c r="G312" t="inlineStr">
        <is>
          <t>AVESTA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45799</v>
      </c>
      <c r="E313" s="1" t="n">
        <v>46238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45799</v>
      </c>
      <c r="E314" s="1" t="n">
        <v>46238</v>
      </c>
      <c r="F314" t="inlineStr">
        <is>
          <t>DALARNAS LÄN</t>
        </is>
      </c>
      <c r="G314" t="inlineStr">
        <is>
          <t>AVESTA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46238</v>
      </c>
      <c r="F315" t="inlineStr">
        <is>
          <t>DALARNAS LÄN</t>
        </is>
      </c>
      <c r="G315" t="inlineStr">
        <is>
          <t>AVESTA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46238</v>
      </c>
      <c r="F316" t="inlineStr">
        <is>
          <t>DALARNAS LÄN</t>
        </is>
      </c>
      <c r="G316" t="inlineStr">
        <is>
          <t>AVESTA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46238</v>
      </c>
      <c r="F317" t="inlineStr">
        <is>
          <t>DALARNAS LÄN</t>
        </is>
      </c>
      <c r="G317" t="inlineStr">
        <is>
          <t>AVESTA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46238</v>
      </c>
      <c r="F318" t="inlineStr">
        <is>
          <t>DALARNAS LÄN</t>
        </is>
      </c>
      <c r="G318" t="inlineStr">
        <is>
          <t>AVESTA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46238</v>
      </c>
      <c r="F319" t="inlineStr">
        <is>
          <t>DALARNAS LÄN</t>
        </is>
      </c>
      <c r="G319" t="inlineStr">
        <is>
          <t>AVESTA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46238</v>
      </c>
      <c r="F320" t="inlineStr">
        <is>
          <t>DALARNAS LÄN</t>
        </is>
      </c>
      <c r="G320" t="inlineStr">
        <is>
          <t>AVESTA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45514</v>
      </c>
      <c r="E321" s="1" t="n">
        <v>46238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45708</v>
      </c>
      <c r="E322" s="1" t="n">
        <v>46238</v>
      </c>
      <c r="F322" t="inlineStr">
        <is>
          <t>DALARNAS LÄN</t>
        </is>
      </c>
      <c r="G322" t="inlineStr">
        <is>
          <t>AVESTA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44650</v>
      </c>
      <c r="E323" s="1" t="n">
        <v>46238</v>
      </c>
      <c r="F323" t="inlineStr">
        <is>
          <t>DALARNAS LÄN</t>
        </is>
      </c>
      <c r="G323" t="inlineStr">
        <is>
          <t>AVESTA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46238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46238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46238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46238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46238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46238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46238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46238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2026-08-04T01:58:40Z</dcterms:created>
  <dcterms:modified xmlns:dcterms="http://purl.org/dc/terms/" xmlns:xsi="http://www.w3.org/2001/XMLSchema-instance" xsi:type="dcterms:W3CDTF">2026-08-04T01:58:40Z</dcterms:modified>
</cp:coreProperties>
</file>