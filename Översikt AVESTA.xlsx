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20396-2022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44699</v>
      </c>
      <c r="E4" s="1" t="n">
        <v>46310</v>
      </c>
      <c r="F4" t="inlineStr">
        <is>
          <t>DALARNAS LÄN</t>
        </is>
      </c>
      <c r="G4" t="inlineStr">
        <is>
          <t>AVESTA</t>
        </is>
      </c>
      <c r="I4" t="n">
        <v>3.3</v>
      </c>
      <c r="J4" t="n">
        <v>3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23</v>
      </c>
      <c r="U4" t="n">
        <v>23</v>
      </c>
      <c r="V4" s="2" t="inlineStr">
        <is>
          <t>Knärot
Bollvitmossa
Korallrot
Spillkråka</t>
        </is>
      </c>
      <c r="W4">
        <f>HYPERLINK("https://klasma.github.io/Logging_2084/artfynd/A 20396-2022 artfynd.xlsx", "A 20396-2022")</f>
        <v/>
      </c>
      <c r="X4">
        <f>HYPERLINK("https://klasma.github.io/Logging_2084/kartor/A 20396-2022 karta.png", "A 20396-2022")</f>
        <v/>
      </c>
      <c r="Y4">
        <f>HYPERLINK("https://klasma.github.io/Logging_2084/kartor_geotiff/A 20396-2022 georefererad karta.tif", "A 20396-2022")</f>
        <v/>
      </c>
      <c r="Z4">
        <f>HYPERLINK("https://klasma.github.io/Logging_2084/knärot/A 20396-2022 karta knärot.png", "A 20396-2022")</f>
        <v/>
      </c>
      <c r="AA4">
        <f>HYPERLINK("https://klasma.github.io/Logging_2084/klagomål/A 20396-2022 FSC-klagomål.docx", "A 20396-2022")</f>
        <v/>
      </c>
      <c r="AB4">
        <f>HYPERLINK("https://klasma.github.io/Logging_2084/klagomålsmail/A 20396-2022 FSC-klagomål mail.docx", "A 20396-2022")</f>
        <v/>
      </c>
      <c r="AC4">
        <f>HYPERLINK("https://klasma.github.io/Logging_2084/tillsyn/A 20396-2022 tillsynsbegäran.docx", "A 20396-2022")</f>
        <v/>
      </c>
      <c r="AD4">
        <f>HYPERLINK("https://klasma.github.io/Logging_2084/tillsynsmail/A 20396-2022 tillsynsbegäran mail.docx", "A 20396-2022")</f>
        <v/>
      </c>
      <c r="AE4">
        <f>HYPERLINK("https://klasma.github.io/Logging_2084/fåglar/A 20396-2022 prioriterade fågelarter.docx", "A 20396-2022")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46310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46310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46310</v>
      </c>
      <c r="F7" t="inlineStr">
        <is>
          <t>DALARNAS LÄN</t>
        </is>
      </c>
      <c r="G7" t="inlineStr">
        <is>
          <t>AVESTA</t>
        </is>
      </c>
      <c r="H7" t="inlineStr">
        <is>
          <t>Bergvik skog väst AB</t>
        </is>
      </c>
      <c r="I7" t="n">
        <v>4.3</v>
      </c>
      <c r="J7" t="n">
        <v>0</v>
      </c>
      <c r="K7" t="n">
        <v>2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4</v>
      </c>
      <c r="V7" s="2" t="inlineStr">
        <is>
          <t>Klosterlav
Liten blekspik
Dvärgtufs
Rostfläck</t>
        </is>
      </c>
      <c r="W7">
        <f>HYPERLINK("https://klasma.github.io/Logging_2084/artfynd/A 31138-2023 artfynd.xlsx", "A 31138-2023")</f>
        <v/>
      </c>
      <c r="X7">
        <f>HYPERLINK("https://klasma.github.io/Logging_2084/kartor/A 31138-2023 karta.png", "A 31138-2023")</f>
        <v/>
      </c>
      <c r="Y7">
        <f>HYPERLINK("https://klasma.github.io/Logging_2084/kartor_geotiff/A 31138-2023 georefererad karta.tif", "A 31138-2023")</f>
        <v/>
      </c>
      <c r="AA7">
        <f>HYPERLINK("https://klasma.github.io/Logging_2084/klagomål/A 31138-2023 FSC-klagomål.docx", "A 31138-2023")</f>
        <v/>
      </c>
      <c r="AB7">
        <f>HYPERLINK("https://klasma.github.io/Logging_2084/klagomålsmail/A 31138-2023 FSC-klagomål mail.docx", "A 31138-2023")</f>
        <v/>
      </c>
      <c r="AC7">
        <f>HYPERLINK("https://klasma.github.io/Logging_2084/tillsyn/A 31138-2023 tillsynsbegäran.docx", "A 31138-2023")</f>
        <v/>
      </c>
      <c r="AD7">
        <f>HYPERLINK("https://klasma.github.io/Logging_2084/tillsynsmail/A 31138-2023 tillsynsbegäran mail.docx", "A 31138-2023")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46310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46310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46310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56085-2023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45240</v>
      </c>
      <c r="E11" s="1" t="n">
        <v>46310</v>
      </c>
      <c r="F11" t="inlineStr">
        <is>
          <t>DALARNAS LÄN</t>
        </is>
      </c>
      <c r="G11" t="inlineStr">
        <is>
          <t>AVESTA</t>
        </is>
      </c>
      <c r="I11" t="n">
        <v>2.7</v>
      </c>
      <c r="J11" t="n">
        <v>1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Strandskinnlav
Rostfläck
Hårklomossa</t>
        </is>
      </c>
      <c r="W11">
        <f>HYPERLINK("https://klasma.github.io/Logging_2084/artfynd/A 56085-2023 artfynd.xlsx", "A 56085-2023")</f>
        <v/>
      </c>
      <c r="X11">
        <f>HYPERLINK("https://klasma.github.io/Logging_2084/kartor/A 56085-2023 karta.png", "A 56085-2023")</f>
        <v/>
      </c>
      <c r="Y11">
        <f>HYPERLINK("https://klasma.github.io/Logging_2084/kartor_geotiff/A 56085-2023 georefererad karta.tif", "A 56085-2023")</f>
        <v/>
      </c>
      <c r="AA11">
        <f>HYPERLINK("https://klasma.github.io/Logging_2084/klagomål/A 56085-2023 FSC-klagomål.docx", "A 56085-2023")</f>
        <v/>
      </c>
      <c r="AB11">
        <f>HYPERLINK("https://klasma.github.io/Logging_2084/klagomålsmail/A 56085-2023 FSC-klagomål mail.docx", "A 56085-2023")</f>
        <v/>
      </c>
      <c r="AC11">
        <f>HYPERLINK("https://klasma.github.io/Logging_2084/tillsyn/A 56085-2023 tillsynsbegäran.docx", "A 56085-2023")</f>
        <v/>
      </c>
      <c r="AD11">
        <f>HYPERLINK("https://klasma.github.io/Logging_2084/tillsynsmail/A 56085-2023 tillsynsbegäran mail.docx", "A 56085-2023")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46310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46310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46310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46310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46310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46310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46310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46310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46310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56571-2023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46310</v>
      </c>
      <c r="F21" t="inlineStr">
        <is>
          <t>DALARNAS LÄN</t>
        </is>
      </c>
      <c r="G21" t="inlineStr">
        <is>
          <t>AVESTA</t>
        </is>
      </c>
      <c r="I21" t="n">
        <v>6.1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Gråblå skinnlav</t>
        </is>
      </c>
      <c r="W21">
        <f>HYPERLINK("https://klasma.github.io/Logging_2084/artfynd/A 56571-2023 artfynd.xlsx", "A 56571-2023")</f>
        <v/>
      </c>
      <c r="X21">
        <f>HYPERLINK("https://klasma.github.io/Logging_2084/kartor/A 56571-2023 karta.png", "A 56571-2023")</f>
        <v/>
      </c>
      <c r="Y21">
        <f>HYPERLINK("https://klasma.github.io/Logging_2084/kartor_geotiff/A 56571-2023 georefererad karta.tif", "A 56571-2023")</f>
        <v/>
      </c>
      <c r="AA21">
        <f>HYPERLINK("https://klasma.github.io/Logging_2084/klagomål/A 56571-2023 FSC-klagomål.docx", "A 56571-2023")</f>
        <v/>
      </c>
      <c r="AB21">
        <f>HYPERLINK("https://klasma.github.io/Logging_2084/klagomålsmail/A 56571-2023 FSC-klagomål mail.docx", "A 56571-2023")</f>
        <v/>
      </c>
      <c r="AC21">
        <f>HYPERLINK("https://klasma.github.io/Logging_2084/tillsyn/A 56571-2023 tillsynsbegäran.docx", "A 56571-2023")</f>
        <v/>
      </c>
      <c r="AD21">
        <f>HYPERLINK("https://klasma.github.io/Logging_2084/tillsynsmail/A 56571-2023 tillsynsbegäran mail.docx", "A 56571-2023")</f>
        <v/>
      </c>
    </row>
    <row r="22" ht="15" customHeight="1">
      <c r="A22" t="inlineStr">
        <is>
          <t>A 36007-2025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46310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HYPERLINK("https://klasma.github.io/Logging_2084/artfynd/A 36007-2025 artfynd.xlsx", "A 36007-2025")</f>
        <v/>
      </c>
      <c r="X22">
        <f>HYPERLINK("https://klasma.github.io/Logging_2084/kartor/A 36007-2025 karta.png", "A 36007-2025")</f>
        <v/>
      </c>
      <c r="Y22">
        <f>HYPERLINK("https://klasma.github.io/Logging_2084/kartor_geotiff/A 36007-2025 georefererad karta.tif", "A 36007-2025")</f>
        <v/>
      </c>
      <c r="AA22">
        <f>HYPERLINK("https://klasma.github.io/Logging_2084/klagomål/A 36007-2025 FSC-klagomål.docx", "A 36007-2025")</f>
        <v/>
      </c>
      <c r="AB22">
        <f>HYPERLINK("https://klasma.github.io/Logging_2084/klagomålsmail/A 36007-2025 FSC-klagomål mail.docx", "A 36007-2025")</f>
        <v/>
      </c>
      <c r="AC22">
        <f>HYPERLINK("https://klasma.github.io/Logging_2084/tillsyn/A 36007-2025 tillsynsbegäran.docx", "A 36007-2025")</f>
        <v/>
      </c>
      <c r="AD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46310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HYPERLINK("https://klasma.github.io/Logging_2084/artfynd/A 36002-2025 artfynd.xlsx", "A 36002-2025")</f>
        <v/>
      </c>
      <c r="X23">
        <f>HYPERLINK("https://klasma.github.io/Logging_2084/kartor/A 36002-2025 karta.png", "A 36002-2025")</f>
        <v/>
      </c>
      <c r="Y23">
        <f>HYPERLINK("https://klasma.github.io/Logging_2084/kartor_geotiff/A 36002-2025 georefererad karta.tif", "A 36002-2025")</f>
        <v/>
      </c>
      <c r="AA23">
        <f>HYPERLINK("https://klasma.github.io/Logging_2084/klagomål/A 36002-2025 FSC-klagomål.docx", "A 36002-2025")</f>
        <v/>
      </c>
      <c r="AB23">
        <f>HYPERLINK("https://klasma.github.io/Logging_2084/klagomålsmail/A 36002-2025 FSC-klagomål mail.docx", "A 36002-2025")</f>
        <v/>
      </c>
      <c r="AC23">
        <f>HYPERLINK("https://klasma.github.io/Logging_2084/tillsyn/A 36002-2025 tillsynsbegäran.docx", "A 36002-2025")</f>
        <v/>
      </c>
      <c r="AD23">
        <f>HYPERLINK("https://klasma.github.io/Logging_2084/tillsynsmail/A 36002-2025 tillsynsbegäran mail.docx", "A 36002-2025")</f>
        <v/>
      </c>
    </row>
    <row r="24" ht="15" customHeight="1">
      <c r="A24" t="inlineStr">
        <is>
          <t>A 17913-2025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46310</v>
      </c>
      <c r="F24" t="inlineStr">
        <is>
          <t>DALARNAS LÄN</t>
        </is>
      </c>
      <c r="G24" t="inlineStr">
        <is>
          <t>AVESTA</t>
        </is>
      </c>
      <c r="I24" t="n">
        <v>10.2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7</v>
      </c>
      <c r="U24" t="n">
        <v>7</v>
      </c>
      <c r="V24" s="2" t="inlineStr">
        <is>
          <t>Knärot</t>
        </is>
      </c>
      <c r="W24">
        <f>HYPERLINK("https://klasma.github.io/Logging_2084/artfynd/A 17913-2025 artfynd.xlsx", "A 17913-2025")</f>
        <v/>
      </c>
      <c r="X24">
        <f>HYPERLINK("https://klasma.github.io/Logging_2084/kartor/A 17913-2025 karta.png", "A 17913-2025")</f>
        <v/>
      </c>
      <c r="Y24">
        <f>HYPERLINK("https://klasma.github.io/Logging_2084/kartor_geotiff/A 17913-2025 georefererad karta.tif", "A 17913-2025")</f>
        <v/>
      </c>
      <c r="Z24">
        <f>HYPERLINK("https://klasma.github.io/Logging_2084/knärot/A 17913-2025 karta knärot.png", "A 17913-2025")</f>
        <v/>
      </c>
      <c r="AA24">
        <f>HYPERLINK("https://klasma.github.io/Logging_2084/klagomål/A 17913-2025 FSC-klagomål.docx", "A 17913-2025")</f>
        <v/>
      </c>
      <c r="AB24">
        <f>HYPERLINK("https://klasma.github.io/Logging_2084/klagomålsmail/A 17913-2025 FSC-klagomål mail.docx", "A 17913-2025")</f>
        <v/>
      </c>
      <c r="AC24">
        <f>HYPERLINK("https://klasma.github.io/Logging_2084/tillsyn/A 17913-2025 tillsynsbegäran.docx", "A 17913-2025")</f>
        <v/>
      </c>
      <c r="AD24">
        <f>HYPERLINK("https://klasma.github.io/Logging_2084/tillsynsmail/A 17913-2025 tillsynsbegäran mail.docx", "A 17913-2025")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46310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46310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13553-2025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46310</v>
      </c>
      <c r="F27" t="inlineStr">
        <is>
          <t>DALARNAS LÄN</t>
        </is>
      </c>
      <c r="G27" t="inlineStr">
        <is>
          <t>AVESTA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HYPERLINK("https://klasma.github.io/Logging_2084/artfynd/A 13553-2025 artfynd.xlsx", "A 13553-2025")</f>
        <v/>
      </c>
      <c r="X27">
        <f>HYPERLINK("https://klasma.github.io/Logging_2084/kartor/A 13553-2025 karta.png", "A 13553-2025")</f>
        <v/>
      </c>
      <c r="Y27">
        <f>HYPERLINK("https://klasma.github.io/Logging_2084/kartor_geotiff/A 13553-2025 georefererad karta.tif", "A 13553-2025")</f>
        <v/>
      </c>
      <c r="AA27">
        <f>HYPERLINK("https://klasma.github.io/Logging_2084/klagomål/A 13553-2025 FSC-klagomål.docx", "A 13553-2025")</f>
        <v/>
      </c>
      <c r="AB27">
        <f>HYPERLINK("https://klasma.github.io/Logging_2084/klagomålsmail/A 13553-2025 FSC-klagomål mail.docx", "A 13553-2025")</f>
        <v/>
      </c>
      <c r="AC27">
        <f>HYPERLINK("https://klasma.github.io/Logging_2084/tillsyn/A 13553-2025 tillsynsbegäran.docx", "A 13553-2025")</f>
        <v/>
      </c>
      <c r="AD27">
        <f>HYPERLINK("https://klasma.github.io/Logging_2084/tillsynsmail/A 13553-2025 tillsynsbegäran mail.docx", "A 13553-2025")</f>
        <v/>
      </c>
    </row>
    <row r="28" ht="15" customHeight="1">
      <c r="A28" t="inlineStr">
        <is>
          <t>A 39253-2025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46310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Nordfladdermus</t>
        </is>
      </c>
      <c r="W28">
        <f>HYPERLINK("https://klasma.github.io/Logging_2084/artfynd/A 39253-2025 artfynd.xlsx", "A 39253-2025")</f>
        <v/>
      </c>
      <c r="X28">
        <f>HYPERLINK("https://klasma.github.io/Logging_2084/kartor/A 39253-2025 karta.png", "A 39253-2025")</f>
        <v/>
      </c>
      <c r="Y28">
        <f>HYPERLINK("https://klasma.github.io/Logging_2084/kartor_geotiff/A 39253-2025 georefererad karta.tif", "A 39253-2025")</f>
        <v/>
      </c>
      <c r="AA28">
        <f>HYPERLINK("https://klasma.github.io/Logging_2084/klagomål/A 39253-2025 FSC-klagomål.docx", "A 39253-2025")</f>
        <v/>
      </c>
      <c r="AB28">
        <f>HYPERLINK("https://klasma.github.io/Logging_2084/klagomålsmail/A 39253-2025 FSC-klagomål mail.docx", "A 39253-2025")</f>
        <v/>
      </c>
      <c r="AC28">
        <f>HYPERLINK("https://klasma.github.io/Logging_2084/tillsyn/A 39253-2025 tillsynsbegäran.docx", "A 39253-2025")</f>
        <v/>
      </c>
      <c r="AD28">
        <f>HYPERLINK("https://klasma.github.io/Logging_2084/tillsynsmail/A 39253-2025 tillsynsbegäran mail.docx", "A 39253-2025")</f>
        <v/>
      </c>
    </row>
    <row r="29" ht="15" customHeight="1">
      <c r="A29" t="inlineStr">
        <is>
          <t>A 15987-2026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46310</v>
      </c>
      <c r="F29" t="inlineStr">
        <is>
          <t>DALARNAS LÄN</t>
        </is>
      </c>
      <c r="G29" t="inlineStr">
        <is>
          <t>AVESTA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HYPERLINK("https://klasma.github.io/Logging_2084/artfynd/A 15987-2026 artfynd.xlsx", "A 15987-2026")</f>
        <v/>
      </c>
      <c r="X29">
        <f>HYPERLINK("https://klasma.github.io/Logging_2084/kartor/A 15987-2026 karta.png", "A 15987-2026")</f>
        <v/>
      </c>
      <c r="Y29">
        <f>HYPERLINK("https://klasma.github.io/Logging_2084/kartor_geotiff/A 15987-2026 georefererad karta.tif", "A 15987-2026")</f>
        <v/>
      </c>
      <c r="AA29">
        <f>HYPERLINK("https://klasma.github.io/Logging_2084/klagomål/A 15987-2026 FSC-klagomål.docx", "A 15987-2026")</f>
        <v/>
      </c>
      <c r="AB29">
        <f>HYPERLINK("https://klasma.github.io/Logging_2084/klagomålsmail/A 15987-2026 FSC-klagomål mail.docx", "A 15987-2026")</f>
        <v/>
      </c>
      <c r="AC29">
        <f>HYPERLINK("https://klasma.github.io/Logging_2084/tillsyn/A 15987-2026 tillsynsbegäran.docx", "A 15987-2026")</f>
        <v/>
      </c>
      <c r="AD29">
        <f>HYPERLINK("https://klasma.github.io/Logging_2084/tillsynsmail/A 15987-2026 tillsynsbegäran mail.docx", "A 15987-2026")</f>
        <v/>
      </c>
    </row>
    <row r="30" ht="15" customHeight="1">
      <c r="A30" t="inlineStr">
        <is>
          <t>A 10943-2024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45370</v>
      </c>
      <c r="E30" s="1" t="n">
        <v>46310</v>
      </c>
      <c r="F30" t="inlineStr">
        <is>
          <t>DALARNAS LÄN</t>
        </is>
      </c>
      <c r="G30" t="inlineStr">
        <is>
          <t>AVESTA</t>
        </is>
      </c>
      <c r="I30" t="n">
        <v>8.5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HYPERLINK("https://klasma.github.io/Logging_2084/artfynd/A 10943-2024 artfynd.xlsx", "A 10943-2024")</f>
        <v/>
      </c>
      <c r="X30">
        <f>HYPERLINK("https://klasma.github.io/Logging_2084/kartor/A 10943-2024 karta.png", "A 10943-2024")</f>
        <v/>
      </c>
      <c r="Y30">
        <f>HYPERLINK("https://klasma.github.io/Logging_2084/kartor_geotiff/A 10943-2024 georefererad karta.tif", "A 10943-2024")</f>
        <v/>
      </c>
      <c r="AA30">
        <f>HYPERLINK("https://klasma.github.io/Logging_2084/klagomål/A 10943-2024 FSC-klagomål.docx", "A 10943-2024")</f>
        <v/>
      </c>
      <c r="AB30">
        <f>HYPERLINK("https://klasma.github.io/Logging_2084/klagomålsmail/A 10943-2024 FSC-klagomål mail.docx", "A 10943-2024")</f>
        <v/>
      </c>
      <c r="AC30">
        <f>HYPERLINK("https://klasma.github.io/Logging_2084/tillsyn/A 10943-2024 tillsynsbegäran.docx", "A 10943-2024")</f>
        <v/>
      </c>
      <c r="AD30">
        <f>HYPERLINK("https://klasma.github.io/Logging_2084/tillsynsmail/A 10943-2024 tillsynsbegäran mail.docx", "A 10943-2024")</f>
        <v/>
      </c>
      <c r="AE30">
        <f>HYPERLINK("https://klasma.github.io/Logging_2084/fåglar/A 10943-2024 prioriterade fågelarter.docx", "A 10943-2024")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46310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43508-2024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45569</v>
      </c>
      <c r="E32" s="1" t="n">
        <v>46310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43508-2024 artfynd.xlsx", "A 43508-2024")</f>
        <v/>
      </c>
      <c r="X32">
        <f>HYPERLINK("https://klasma.github.io/Logging_2084/kartor/A 43508-2024 karta.png", "A 43508-2024")</f>
        <v/>
      </c>
      <c r="Y32">
        <f>HYPERLINK("https://klasma.github.io/Logging_2084/kartor_geotiff/A 43508-2024 georefererad karta.tif", "A 43508-2024")</f>
        <v/>
      </c>
      <c r="AA32">
        <f>HYPERLINK("https://klasma.github.io/Logging_2084/klagomål/A 43508-2024 FSC-klagomål.docx", "A 43508-2024")</f>
        <v/>
      </c>
      <c r="AB32">
        <f>HYPERLINK("https://klasma.github.io/Logging_2084/klagomålsmail/A 43508-2024 FSC-klagomål mail.docx", "A 43508-2024")</f>
        <v/>
      </c>
      <c r="AC32">
        <f>HYPERLINK("https://klasma.github.io/Logging_2084/tillsyn/A 43508-2024 tillsynsbegäran.docx", "A 43508-2024")</f>
        <v/>
      </c>
      <c r="AD32">
        <f>HYPERLINK("https://klasma.github.io/Logging_2084/tillsynsmail/A 43508-2024 tillsynsbegäran mail.docx", "A 43508-2024")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46310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44853-2023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46310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Knytlingsäckmal</t>
        </is>
      </c>
      <c r="W34">
        <f>HYPERLINK("https://klasma.github.io/Logging_2084/artfynd/A 44853-2023 artfynd.xlsx", "A 44853-2023")</f>
        <v/>
      </c>
      <c r="X34">
        <f>HYPERLINK("https://klasma.github.io/Logging_2084/kartor/A 44853-2023 karta.png", "A 44853-2023")</f>
        <v/>
      </c>
      <c r="Y34">
        <f>HYPERLINK("https://klasma.github.io/Logging_2084/kartor_geotiff/A 44853-2023 georefererad karta.tif", "A 44853-2023")</f>
        <v/>
      </c>
      <c r="AA34">
        <f>HYPERLINK("https://klasma.github.io/Logging_2084/klagomål/A 44853-2023 FSC-klagomål.docx", "A 44853-2023")</f>
        <v/>
      </c>
      <c r="AB34">
        <f>HYPERLINK("https://klasma.github.io/Logging_2084/klagomålsmail/A 44853-2023 FSC-klagomål mail.docx", "A 44853-2023")</f>
        <v/>
      </c>
      <c r="AC34">
        <f>HYPERLINK("https://klasma.github.io/Logging_2084/tillsyn/A 44853-2023 tillsynsbegäran.docx", "A 44853-2023")</f>
        <v/>
      </c>
      <c r="AD34">
        <f>HYPERLINK("https://klasma.github.io/Logging_2084/tillsynsmail/A 44853-2023 tillsynsbegäran mail.docx", "A 44853-2023")</f>
        <v/>
      </c>
    </row>
    <row r="35" ht="15" customHeight="1">
      <c r="A35" t="inlineStr">
        <is>
          <t>A 21412-2023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46310</v>
      </c>
      <c r="F35" t="inlineStr">
        <is>
          <t>DALARNAS LÄN</t>
        </is>
      </c>
      <c r="G35" t="inlineStr">
        <is>
          <t>AVESTA</t>
        </is>
      </c>
      <c r="H35" t="inlineStr">
        <is>
          <t>Bergvik skog väst AB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HYPERLINK("https://klasma.github.io/Logging_2084/artfynd/A 21412-2023 artfynd.xlsx", "A 21412-2023")</f>
        <v/>
      </c>
      <c r="X35">
        <f>HYPERLINK("https://klasma.github.io/Logging_2084/kartor/A 21412-2023 karta.png", "A 21412-2023")</f>
        <v/>
      </c>
      <c r="Y35">
        <f>HYPERLINK("https://klasma.github.io/Logging_2084/kartor_geotiff/A 21412-2023 georefererad karta.tif", "A 21412-2023")</f>
        <v/>
      </c>
      <c r="AA35">
        <f>HYPERLINK("https://klasma.github.io/Logging_2084/klagomål/A 21412-2023 FSC-klagomål.docx", "A 21412-2023")</f>
        <v/>
      </c>
      <c r="AB35">
        <f>HYPERLINK("https://klasma.github.io/Logging_2084/klagomålsmail/A 21412-2023 FSC-klagomål mail.docx", "A 21412-2023")</f>
        <v/>
      </c>
      <c r="AC35">
        <f>HYPERLINK("https://klasma.github.io/Logging_2084/tillsyn/A 21412-2023 tillsynsbegäran.docx", "A 21412-2023")</f>
        <v/>
      </c>
      <c r="AD35">
        <f>HYPERLINK("https://klasma.github.io/Logging_2084/tillsynsmail/A 21412-2023 tillsynsbegäran mail.docx", "A 21412-2023")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46310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46310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46310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A 1695-2022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44574</v>
      </c>
      <c r="E39" s="1" t="n">
        <v>46310</v>
      </c>
      <c r="F39" t="inlineStr">
        <is>
          <t>DALARNAS LÄN</t>
        </is>
      </c>
      <c r="G39" t="inlineStr">
        <is>
          <t>AVESTA</t>
        </is>
      </c>
      <c r="I39" t="n">
        <v>6.5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27</v>
      </c>
      <c r="U39" t="n">
        <v>27</v>
      </c>
      <c r="V39" s="2" t="inlineStr">
        <is>
          <t>Knärot</t>
        </is>
      </c>
      <c r="W39">
        <f>HYPERLINK("https://klasma.github.io/Logging_2084/artfynd/A 1695-2022 artfynd.xlsx", "A 1695-2022")</f>
        <v/>
      </c>
      <c r="X39">
        <f>HYPERLINK("https://klasma.github.io/Logging_2084/kartor/A 1695-2022 karta.png", "A 1695-2022")</f>
        <v/>
      </c>
      <c r="Y39">
        <f>HYPERLINK("https://klasma.github.io/Logging_2084/kartor_geotiff/A 1695-2022 georefererad karta.tif", "A 1695-2022")</f>
        <v/>
      </c>
      <c r="Z39">
        <f>HYPERLINK("https://klasma.github.io/Logging_2084/knärot/A 1695-2022 karta knärot.png", "A 1695-2022")</f>
        <v/>
      </c>
      <c r="AA39">
        <f>HYPERLINK("https://klasma.github.io/Logging_2084/klagomål/A 1695-2022 FSC-klagomål.docx", "A 1695-2022")</f>
        <v/>
      </c>
      <c r="AB39">
        <f>HYPERLINK("https://klasma.github.io/Logging_2084/klagomålsmail/A 1695-2022 FSC-klagomål mail.docx", "A 1695-2022")</f>
        <v/>
      </c>
      <c r="AC39">
        <f>HYPERLINK("https://klasma.github.io/Logging_2084/tillsyn/A 1695-2022 tillsynsbegäran.docx", "A 1695-2022")</f>
        <v/>
      </c>
      <c r="AD39">
        <f>HYPERLINK("https://klasma.github.io/Logging_2084/tillsynsmail/A 1695-2022 tillsynsbegäran mail.docx", "A 1695-2022")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46310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46310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46310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46310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46310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46310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46310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46310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46310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46310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46310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46310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44971</v>
      </c>
      <c r="E52" s="1" t="n">
        <v>46310</v>
      </c>
      <c r="F52" t="inlineStr">
        <is>
          <t>DALARNAS LÄN</t>
        </is>
      </c>
      <c r="G52" t="inlineStr">
        <is>
          <t>AVESTA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45138</v>
      </c>
      <c r="E53" s="1" t="n">
        <v>46310</v>
      </c>
      <c r="F53" t="inlineStr">
        <is>
          <t>DALARNAS LÄN</t>
        </is>
      </c>
      <c r="G53" t="inlineStr">
        <is>
          <t>AVESTA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45721</v>
      </c>
      <c r="E54" s="1" t="n">
        <v>46310</v>
      </c>
      <c r="F54" t="inlineStr">
        <is>
          <t>DALARNAS LÄN</t>
        </is>
      </c>
      <c r="G54" t="inlineStr">
        <is>
          <t>AVESTA</t>
        </is>
      </c>
      <c r="H54" t="inlineStr">
        <is>
          <t>Sveaskog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44998</v>
      </c>
      <c r="E55" s="1" t="n">
        <v>46310</v>
      </c>
      <c r="F55" t="inlineStr">
        <is>
          <t>DALARNAS LÄN</t>
        </is>
      </c>
      <c r="G55" t="inlineStr">
        <is>
          <t>AVESTA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24147-2025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45796</v>
      </c>
      <c r="E56" s="1" t="n">
        <v>46310</v>
      </c>
      <c r="F56" t="inlineStr">
        <is>
          <t>DALARNAS LÄN</t>
        </is>
      </c>
      <c r="G56" t="inlineStr">
        <is>
          <t>AVESTA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15925-2024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46310</v>
      </c>
      <c r="F57" t="inlineStr">
        <is>
          <t>DALARNAS LÄN</t>
        </is>
      </c>
      <c r="G57" t="inlineStr">
        <is>
          <t>AVESTA</t>
        </is>
      </c>
      <c r="I57" t="n">
        <v>13.7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45238</v>
      </c>
      <c r="E58" s="1" t="n">
        <v>46310</v>
      </c>
      <c r="F58" t="inlineStr">
        <is>
          <t>DALARNAS LÄN</t>
        </is>
      </c>
      <c r="G58" t="inlineStr">
        <is>
          <t>AVESTA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46310</v>
      </c>
      <c r="F59" t="inlineStr">
        <is>
          <t>DALARNAS LÄN</t>
        </is>
      </c>
      <c r="G59" t="inlineStr">
        <is>
          <t>AVESTA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45796</v>
      </c>
      <c r="E60" s="1" t="n">
        <v>46310</v>
      </c>
      <c r="F60" t="inlineStr">
        <is>
          <t>DALARNAS LÄN</t>
        </is>
      </c>
      <c r="G60" t="inlineStr">
        <is>
          <t>AVESTA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46310</v>
      </c>
      <c r="F61" t="inlineStr">
        <is>
          <t>DALARNAS LÄN</t>
        </is>
      </c>
      <c r="G61" t="inlineStr">
        <is>
          <t>AVESTA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45796</v>
      </c>
      <c r="E62" s="1" t="n">
        <v>46310</v>
      </c>
      <c r="F62" t="inlineStr">
        <is>
          <t>DALARNAS LÄN</t>
        </is>
      </c>
      <c r="G62" t="inlineStr">
        <is>
          <t>AVESTA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62093-2024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45656</v>
      </c>
      <c r="E63" s="1" t="n">
        <v>46310</v>
      </c>
      <c r="F63" t="inlineStr">
        <is>
          <t>DALARNAS LÄN</t>
        </is>
      </c>
      <c r="G63" t="inlineStr">
        <is>
          <t>AVESTA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31387-2024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45505</v>
      </c>
      <c r="E64" s="1" t="n">
        <v>46310</v>
      </c>
      <c r="F64" t="inlineStr">
        <is>
          <t>DALARNAS LÄN</t>
        </is>
      </c>
      <c r="G64" t="inlineStr">
        <is>
          <t>AVESTA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46310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45457</v>
      </c>
      <c r="E66" s="1" t="n">
        <v>46310</v>
      </c>
      <c r="F66" t="inlineStr">
        <is>
          <t>DALARNAS LÄN</t>
        </is>
      </c>
      <c r="G66" t="inlineStr">
        <is>
          <t>AVESTA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24834-2025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45799</v>
      </c>
      <c r="E67" s="1" t="n">
        <v>46310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46310</v>
      </c>
      <c r="F68" t="inlineStr">
        <is>
          <t>DALARNAS LÄN</t>
        </is>
      </c>
      <c r="G68" t="inlineStr">
        <is>
          <t>AVESTA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46310</v>
      </c>
      <c r="F69" t="inlineStr">
        <is>
          <t>DALARNAS LÄN</t>
        </is>
      </c>
      <c r="G69" t="inlineStr">
        <is>
          <t>AVESTA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46310</v>
      </c>
      <c r="F70" t="inlineStr">
        <is>
          <t>DALARNAS LÄN</t>
        </is>
      </c>
      <c r="G70" t="inlineStr">
        <is>
          <t>AVESTA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46310</v>
      </c>
      <c r="F71" t="inlineStr">
        <is>
          <t>DALARNAS LÄN</t>
        </is>
      </c>
      <c r="G71" t="inlineStr">
        <is>
          <t>AVESTA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46310</v>
      </c>
      <c r="F72" t="inlineStr">
        <is>
          <t>DALARNAS LÄN</t>
        </is>
      </c>
      <c r="G72" t="inlineStr">
        <is>
          <t>AVESTA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46310</v>
      </c>
      <c r="F73" t="inlineStr">
        <is>
          <t>DALARNAS LÄN</t>
        </is>
      </c>
      <c r="G73" t="inlineStr">
        <is>
          <t>AVESTA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44963</v>
      </c>
      <c r="E74" s="1" t="n">
        <v>46310</v>
      </c>
      <c r="F74" t="inlineStr">
        <is>
          <t>DALARNAS LÄN</t>
        </is>
      </c>
      <c r="G74" t="inlineStr">
        <is>
          <t>AVESTA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46310</v>
      </c>
      <c r="F75" t="inlineStr">
        <is>
          <t>DALARNAS LÄN</t>
        </is>
      </c>
      <c r="G75" t="inlineStr">
        <is>
          <t>AVESTA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46310</v>
      </c>
      <c r="F76" t="inlineStr">
        <is>
          <t>DALARNAS LÄN</t>
        </is>
      </c>
      <c r="G76" t="inlineStr">
        <is>
          <t>AVESTA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46310</v>
      </c>
      <c r="F77" t="inlineStr">
        <is>
          <t>DALARNAS LÄN</t>
        </is>
      </c>
      <c r="G77" t="inlineStr">
        <is>
          <t>AVESTA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58812-2023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46310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46310</v>
      </c>
      <c r="F79" t="inlineStr">
        <is>
          <t>DALARNAS LÄN</t>
        </is>
      </c>
      <c r="G79" t="inlineStr">
        <is>
          <t>AVESTA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46310</v>
      </c>
      <c r="F80" t="inlineStr">
        <is>
          <t>DALARNAS LÄN</t>
        </is>
      </c>
      <c r="G80" t="inlineStr">
        <is>
          <t>AVESTA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46310</v>
      </c>
      <c r="F81" t="inlineStr">
        <is>
          <t>DALARNAS LÄN</t>
        </is>
      </c>
      <c r="G81" t="inlineStr">
        <is>
          <t>AVESTA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45044</v>
      </c>
      <c r="E82" s="1" t="n">
        <v>46310</v>
      </c>
      <c r="F82" t="inlineStr">
        <is>
          <t>DALARNAS LÄN</t>
        </is>
      </c>
      <c r="G82" t="inlineStr">
        <is>
          <t>AVESTA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46310</v>
      </c>
      <c r="F83" t="inlineStr">
        <is>
          <t>DALARNAS LÄN</t>
        </is>
      </c>
      <c r="G83" t="inlineStr">
        <is>
          <t>AVESTA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46310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46310</v>
      </c>
      <c r="F85" t="inlineStr">
        <is>
          <t>DALARNAS LÄN</t>
        </is>
      </c>
      <c r="G85" t="inlineStr">
        <is>
          <t>AVESTA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45269</v>
      </c>
      <c r="E86" s="1" t="n">
        <v>46310</v>
      </c>
      <c r="F86" t="inlineStr">
        <is>
          <t>DALARNAS LÄN</t>
        </is>
      </c>
      <c r="G86" t="inlineStr">
        <is>
          <t>AVESTA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46310</v>
      </c>
      <c r="F87" t="inlineStr">
        <is>
          <t>DALARNAS LÄN</t>
        </is>
      </c>
      <c r="G87" t="inlineStr">
        <is>
          <t>AVESTA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45123</v>
      </c>
      <c r="E88" s="1" t="n">
        <v>46310</v>
      </c>
      <c r="F88" t="inlineStr">
        <is>
          <t>DALARNAS LÄN</t>
        </is>
      </c>
      <c r="G88" t="inlineStr">
        <is>
          <t>AVESTA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32771-2023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45123</v>
      </c>
      <c r="E89" s="1" t="n">
        <v>46310</v>
      </c>
      <c r="F89" t="inlineStr">
        <is>
          <t>DALARNAS LÄN</t>
        </is>
      </c>
      <c r="G89" t="inlineStr">
        <is>
          <t>AVESTA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45314</v>
      </c>
      <c r="E90" s="1" t="n">
        <v>46310</v>
      </c>
      <c r="F90" t="inlineStr">
        <is>
          <t>DALARNAS LÄN</t>
        </is>
      </c>
      <c r="G90" t="inlineStr">
        <is>
          <t>AVESTA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45514</v>
      </c>
      <c r="E91" s="1" t="n">
        <v>46310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46310</v>
      </c>
      <c r="F92" t="inlineStr">
        <is>
          <t>DALARNAS LÄN</t>
        </is>
      </c>
      <c r="G92" t="inlineStr">
        <is>
          <t>AVESTA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46310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46310</v>
      </c>
      <c r="F94" t="inlineStr">
        <is>
          <t>DALARNAS LÄN</t>
        </is>
      </c>
      <c r="G94" t="inlineStr">
        <is>
          <t>AVESTA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46310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46310</v>
      </c>
      <c r="F96" t="inlineStr">
        <is>
          <t>DALARNAS LÄN</t>
        </is>
      </c>
      <c r="G96" t="inlineStr">
        <is>
          <t>AVESTA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45019</v>
      </c>
      <c r="E97" s="1" t="n">
        <v>46310</v>
      </c>
      <c r="F97" t="inlineStr">
        <is>
          <t>DALARNAS LÄN</t>
        </is>
      </c>
      <c r="G97" t="inlineStr">
        <is>
          <t>AVESTA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46310</v>
      </c>
      <c r="F98" t="inlineStr">
        <is>
          <t>DALARNAS LÄN</t>
        </is>
      </c>
      <c r="G98" t="inlineStr">
        <is>
          <t>AVESTA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45628</v>
      </c>
      <c r="E99" s="1" t="n">
        <v>46310</v>
      </c>
      <c r="F99" t="inlineStr">
        <is>
          <t>DALARNAS LÄN</t>
        </is>
      </c>
      <c r="G99" t="inlineStr">
        <is>
          <t>AVESTA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45708</v>
      </c>
      <c r="E100" s="1" t="n">
        <v>46310</v>
      </c>
      <c r="F100" t="inlineStr">
        <is>
          <t>DALARNAS LÄN</t>
        </is>
      </c>
      <c r="G100" t="inlineStr">
        <is>
          <t>AVESTA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45496</v>
      </c>
      <c r="E101" s="1" t="n">
        <v>46310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46310</v>
      </c>
      <c r="F102" t="inlineStr">
        <is>
          <t>DALARNAS LÄN</t>
        </is>
      </c>
      <c r="G102" t="inlineStr">
        <is>
          <t>AVESTA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46310</v>
      </c>
      <c r="F103" t="inlineStr">
        <is>
          <t>DALARNAS LÄN</t>
        </is>
      </c>
      <c r="G103" t="inlineStr">
        <is>
          <t>AVESTA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44650</v>
      </c>
      <c r="E104" s="1" t="n">
        <v>46310</v>
      </c>
      <c r="F104" t="inlineStr">
        <is>
          <t>DALARNAS LÄN</t>
        </is>
      </c>
      <c r="G104" t="inlineStr">
        <is>
          <t>AVESTA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45863</v>
      </c>
      <c r="E105" s="1" t="n">
        <v>46310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14.1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45863</v>
      </c>
      <c r="E106" s="1" t="n">
        <v>46310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45863</v>
      </c>
      <c r="E107" s="1" t="n">
        <v>46310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46310</v>
      </c>
      <c r="F108" t="inlineStr">
        <is>
          <t>DALARNAS LÄN</t>
        </is>
      </c>
      <c r="G108" t="inlineStr">
        <is>
          <t>AVESTA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46310</v>
      </c>
      <c r="F109" t="inlineStr">
        <is>
          <t>DALARNAS LÄN</t>
        </is>
      </c>
      <c r="G109" t="inlineStr">
        <is>
          <t>AVESTA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46310</v>
      </c>
      <c r="F110" t="inlineStr">
        <is>
          <t>DALARNAS LÄN</t>
        </is>
      </c>
      <c r="G110" t="inlineStr">
        <is>
          <t>AVESTA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46310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46310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46310</v>
      </c>
      <c r="F113" t="inlineStr">
        <is>
          <t>DALARNAS LÄN</t>
        </is>
      </c>
      <c r="G113" t="inlineStr">
        <is>
          <t>AVESTA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46310</v>
      </c>
      <c r="F114" t="inlineStr">
        <is>
          <t>DALARNAS LÄN</t>
        </is>
      </c>
      <c r="G114" t="inlineStr">
        <is>
          <t>AVESTA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46310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46310</v>
      </c>
      <c r="F116" t="inlineStr">
        <is>
          <t>DALARNAS LÄN</t>
        </is>
      </c>
      <c r="G116" t="inlineStr">
        <is>
          <t>AVESTA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46310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9403-2022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44616</v>
      </c>
      <c r="E118" s="1" t="n">
        <v>46310</v>
      </c>
      <c r="F118" t="inlineStr">
        <is>
          <t>DALARNAS LÄN</t>
        </is>
      </c>
      <c r="G118" t="inlineStr">
        <is>
          <t>AVESTA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46310</v>
      </c>
      <c r="F119" t="inlineStr">
        <is>
          <t>DALARNAS LÄN</t>
        </is>
      </c>
      <c r="G119" t="inlineStr">
        <is>
          <t>AVESTA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46310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46310</v>
      </c>
      <c r="F121" t="inlineStr">
        <is>
          <t>DALARNAS LÄN</t>
        </is>
      </c>
      <c r="G121" t="inlineStr">
        <is>
          <t>AVESTA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46310</v>
      </c>
      <c r="F122" t="inlineStr">
        <is>
          <t>DALARNAS LÄN</t>
        </is>
      </c>
      <c r="G122" t="inlineStr">
        <is>
          <t>AVESTA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44684</v>
      </c>
      <c r="E123" s="1" t="n">
        <v>46310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46310</v>
      </c>
      <c r="F124" t="inlineStr">
        <is>
          <t>DALARNAS LÄN</t>
        </is>
      </c>
      <c r="G124" t="inlineStr">
        <is>
          <t>AVESTA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46310</v>
      </c>
      <c r="F125" t="inlineStr">
        <is>
          <t>DALARNAS LÄN</t>
        </is>
      </c>
      <c r="G125" t="inlineStr">
        <is>
          <t>AVESTA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45598</v>
      </c>
      <c r="E126" s="1" t="n">
        <v>46310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45598</v>
      </c>
      <c r="E127" s="1" t="n">
        <v>46310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46310</v>
      </c>
      <c r="F128" t="inlineStr">
        <is>
          <t>DALARNAS LÄN</t>
        </is>
      </c>
      <c r="G128" t="inlineStr">
        <is>
          <t>AVESTA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45560</v>
      </c>
      <c r="E129" s="1" t="n">
        <v>46310</v>
      </c>
      <c r="F129" t="inlineStr">
        <is>
          <t>DALARNAS LÄN</t>
        </is>
      </c>
      <c r="G129" t="inlineStr">
        <is>
          <t>AVESTA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46310</v>
      </c>
      <c r="F130" t="inlineStr">
        <is>
          <t>DALARNAS LÄN</t>
        </is>
      </c>
      <c r="G130" t="inlineStr">
        <is>
          <t>AVESTA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45269</v>
      </c>
      <c r="E131" s="1" t="n">
        <v>46310</v>
      </c>
      <c r="F131" t="inlineStr">
        <is>
          <t>DALARNAS LÄN</t>
        </is>
      </c>
      <c r="G131" t="inlineStr">
        <is>
          <t>AVESTA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46310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46310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46071</v>
      </c>
      <c r="E134" s="1" t="n">
        <v>46310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16522-2025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45751</v>
      </c>
      <c r="E135" s="1" t="n">
        <v>46310</v>
      </c>
      <c r="F135" t="inlineStr">
        <is>
          <t>DALARNAS LÄN</t>
        </is>
      </c>
      <c r="G135" t="inlineStr">
        <is>
          <t>AVESTA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46310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46310</v>
      </c>
      <c r="F137" t="inlineStr">
        <is>
          <t>DALARNAS LÄN</t>
        </is>
      </c>
      <c r="G137" t="inlineStr">
        <is>
          <t>AVESTA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45944</v>
      </c>
      <c r="E138" s="1" t="n">
        <v>46310</v>
      </c>
      <c r="F138" t="inlineStr">
        <is>
          <t>DALARNAS LÄN</t>
        </is>
      </c>
      <c r="G138" t="inlineStr">
        <is>
          <t>AVESTA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46310</v>
      </c>
      <c r="F139" t="inlineStr">
        <is>
          <t>DALARNAS LÄN</t>
        </is>
      </c>
      <c r="G139" t="inlineStr">
        <is>
          <t>AVESTA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46310</v>
      </c>
      <c r="F140" t="inlineStr">
        <is>
          <t>DALARNAS LÄN</t>
        </is>
      </c>
      <c r="G140" t="inlineStr">
        <is>
          <t>AVESTA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46310</v>
      </c>
      <c r="F141" t="inlineStr">
        <is>
          <t>DALARNAS LÄN</t>
        </is>
      </c>
      <c r="G141" t="inlineStr">
        <is>
          <t>AVESTA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46310</v>
      </c>
      <c r="F142" t="inlineStr">
        <is>
          <t>DALARNAS LÄN</t>
        </is>
      </c>
      <c r="G142" t="inlineStr">
        <is>
          <t>AVESTA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45499</v>
      </c>
      <c r="E143" s="1" t="n">
        <v>46310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46310</v>
      </c>
      <c r="F144" t="inlineStr">
        <is>
          <t>DALARNAS LÄN</t>
        </is>
      </c>
      <c r="G144" t="inlineStr">
        <is>
          <t>AVESTA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45257</v>
      </c>
      <c r="E145" s="1" t="n">
        <v>46310</v>
      </c>
      <c r="F145" t="inlineStr">
        <is>
          <t>DALARNAS LÄN</t>
        </is>
      </c>
      <c r="G145" t="inlineStr">
        <is>
          <t>AVESTA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46310</v>
      </c>
      <c r="F146" t="inlineStr">
        <is>
          <t>DALARNAS LÄN</t>
        </is>
      </c>
      <c r="G146" t="inlineStr">
        <is>
          <t>AVESTA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28108-2022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46310</v>
      </c>
      <c r="F147" t="inlineStr">
        <is>
          <t>DALARNAS LÄN</t>
        </is>
      </c>
      <c r="G147" t="inlineStr">
        <is>
          <t>AVESTA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46310</v>
      </c>
      <c r="F148" t="inlineStr">
        <is>
          <t>DALARNAS LÄN</t>
        </is>
      </c>
      <c r="G148" t="inlineStr">
        <is>
          <t>AVESTA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44972</v>
      </c>
      <c r="E149" s="1" t="n">
        <v>46310</v>
      </c>
      <c r="F149" t="inlineStr">
        <is>
          <t>DALARNAS LÄN</t>
        </is>
      </c>
      <c r="G149" t="inlineStr">
        <is>
          <t>AVESTA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45348</v>
      </c>
      <c r="E150" s="1" t="n">
        <v>46310</v>
      </c>
      <c r="F150" t="inlineStr">
        <is>
          <t>DALARNAS LÄN</t>
        </is>
      </c>
      <c r="G150" t="inlineStr">
        <is>
          <t>AVESTA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46310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46310</v>
      </c>
      <c r="F152" t="inlineStr">
        <is>
          <t>DALARNAS LÄN</t>
        </is>
      </c>
      <c r="G152" t="inlineStr">
        <is>
          <t>AVESTA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46310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46310</v>
      </c>
      <c r="F154" t="inlineStr">
        <is>
          <t>DALARNAS LÄN</t>
        </is>
      </c>
      <c r="G154" t="inlineStr">
        <is>
          <t>AVESTA</t>
        </is>
      </c>
      <c r="H154" t="inlineStr">
        <is>
          <t>Bergvik skog väst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46310</v>
      </c>
      <c r="F155" t="inlineStr">
        <is>
          <t>DALARNAS LÄN</t>
        </is>
      </c>
      <c r="G155" t="inlineStr">
        <is>
          <t>AVESTA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44980</v>
      </c>
      <c r="E156" s="1" t="n">
        <v>46310</v>
      </c>
      <c r="F156" t="inlineStr">
        <is>
          <t>DALARNAS LÄN</t>
        </is>
      </c>
      <c r="G156" t="inlineStr">
        <is>
          <t>AVESTA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45496</v>
      </c>
      <c r="E157" s="1" t="n">
        <v>46310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45496</v>
      </c>
      <c r="E158" s="1" t="n">
        <v>46310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46310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23308-2024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46310</v>
      </c>
      <c r="F160" t="inlineStr">
        <is>
          <t>DALARNAS LÄN</t>
        </is>
      </c>
      <c r="G160" t="inlineStr">
        <is>
          <t>AVESTA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46310</v>
      </c>
      <c r="F161" t="inlineStr">
        <is>
          <t>DALARNAS LÄN</t>
        </is>
      </c>
      <c r="G161" t="inlineStr">
        <is>
          <t>AVESTA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46310</v>
      </c>
      <c r="F162" t="inlineStr">
        <is>
          <t>DALARNAS LÄN</t>
        </is>
      </c>
      <c r="G162" t="inlineStr">
        <is>
          <t>AVESTA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46310</v>
      </c>
      <c r="F163" t="inlineStr">
        <is>
          <t>DALARNAS LÄN</t>
        </is>
      </c>
      <c r="G163" t="inlineStr">
        <is>
          <t>AVESTA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46310</v>
      </c>
      <c r="F164" t="inlineStr">
        <is>
          <t>DALARNAS LÄN</t>
        </is>
      </c>
      <c r="G164" t="inlineStr">
        <is>
          <t>AVESTA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46113</v>
      </c>
      <c r="E165" s="1" t="n">
        <v>46310</v>
      </c>
      <c r="F165" t="inlineStr">
        <is>
          <t>DALARNAS LÄN</t>
        </is>
      </c>
      <c r="G165" t="inlineStr">
        <is>
          <t>AVESTA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46310</v>
      </c>
      <c r="F166" t="inlineStr">
        <is>
          <t>DALARNAS LÄN</t>
        </is>
      </c>
      <c r="G166" t="inlineStr">
        <is>
          <t>AVESTA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46113</v>
      </c>
      <c r="E167" s="1" t="n">
        <v>46310</v>
      </c>
      <c r="F167" t="inlineStr">
        <is>
          <t>DALARNAS LÄN</t>
        </is>
      </c>
      <c r="G167" t="inlineStr">
        <is>
          <t>AVESTA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46310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46310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45492</v>
      </c>
      <c r="E170" s="1" t="n">
        <v>46310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46310</v>
      </c>
      <c r="F171" t="inlineStr">
        <is>
          <t>DALARNAS LÄN</t>
        </is>
      </c>
      <c r="G171" t="inlineStr">
        <is>
          <t>AVESTA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46310</v>
      </c>
      <c r="F172" t="inlineStr">
        <is>
          <t>DALARNAS LÄN</t>
        </is>
      </c>
      <c r="G172" t="inlineStr">
        <is>
          <t>AVESTA</t>
        </is>
      </c>
      <c r="I172" t="n">
        <v>14.8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46128</v>
      </c>
      <c r="E173" s="1" t="n">
        <v>46310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46310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18679-2026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46128</v>
      </c>
      <c r="E175" s="1" t="n">
        <v>46310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46128</v>
      </c>
      <c r="E176" s="1" t="n">
        <v>46310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46310</v>
      </c>
      <c r="F177" t="inlineStr">
        <is>
          <t>DALARNAS LÄN</t>
        </is>
      </c>
      <c r="G177" t="inlineStr">
        <is>
          <t>AVESTA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44687</v>
      </c>
      <c r="E178" s="1" t="n">
        <v>46310</v>
      </c>
      <c r="F178" t="inlineStr">
        <is>
          <t>DALARNAS LÄN</t>
        </is>
      </c>
      <c r="G178" t="inlineStr">
        <is>
          <t>AVESTA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46310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46310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46310</v>
      </c>
      <c r="F181" t="inlineStr">
        <is>
          <t>DALARNAS LÄN</t>
        </is>
      </c>
      <c r="G181" t="inlineStr">
        <is>
          <t>AVESTA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46310</v>
      </c>
      <c r="F182" t="inlineStr">
        <is>
          <t>DALARNAS LÄN</t>
        </is>
      </c>
      <c r="G182" t="inlineStr">
        <is>
          <t>AVESTA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46310</v>
      </c>
      <c r="F183" t="inlineStr">
        <is>
          <t>DALARNAS LÄN</t>
        </is>
      </c>
      <c r="G183" t="inlineStr">
        <is>
          <t>AVESTA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46310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46310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45328</v>
      </c>
      <c r="E186" s="1" t="n">
        <v>46310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45866</v>
      </c>
      <c r="E187" s="1" t="n">
        <v>46310</v>
      </c>
      <c r="F187" t="inlineStr">
        <is>
          <t>DALARNAS LÄN</t>
        </is>
      </c>
      <c r="G187" t="inlineStr">
        <is>
          <t>AVESTA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45446</v>
      </c>
      <c r="E188" s="1" t="n">
        <v>46310</v>
      </c>
      <c r="F188" t="inlineStr">
        <is>
          <t>DALARNAS LÄN</t>
        </is>
      </c>
      <c r="G188" t="inlineStr">
        <is>
          <t>AVESTA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46310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46310</v>
      </c>
      <c r="F190" t="inlineStr">
        <is>
          <t>DALARNAS LÄN</t>
        </is>
      </c>
      <c r="G190" t="inlineStr">
        <is>
          <t>AVESTA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46310</v>
      </c>
      <c r="F191" t="inlineStr">
        <is>
          <t>DALARNAS LÄN</t>
        </is>
      </c>
      <c r="G191" t="inlineStr">
        <is>
          <t>AVESTA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45511</v>
      </c>
      <c r="E192" s="1" t="n">
        <v>46310</v>
      </c>
      <c r="F192" t="inlineStr">
        <is>
          <t>DALARNAS LÄN</t>
        </is>
      </c>
      <c r="G192" t="inlineStr">
        <is>
          <t>AVESTA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45007</v>
      </c>
      <c r="E193" s="1" t="n">
        <v>46310</v>
      </c>
      <c r="F193" t="inlineStr">
        <is>
          <t>DALARNAS LÄN</t>
        </is>
      </c>
      <c r="G193" t="inlineStr">
        <is>
          <t>AVESTA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44508</v>
      </c>
      <c r="E194" s="1" t="n">
        <v>46310</v>
      </c>
      <c r="F194" t="inlineStr">
        <is>
          <t>DALARNAS LÄN</t>
        </is>
      </c>
      <c r="G194" t="inlineStr">
        <is>
          <t>AVESTA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46310</v>
      </c>
      <c r="F195" t="inlineStr">
        <is>
          <t>DALARNAS LÄN</t>
        </is>
      </c>
      <c r="G195" t="inlineStr">
        <is>
          <t>AVESTA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45497</v>
      </c>
      <c r="E196" s="1" t="n">
        <v>46310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45684</v>
      </c>
      <c r="E197" s="1" t="n">
        <v>46310</v>
      </c>
      <c r="F197" t="inlineStr">
        <is>
          <t>DALARNAS LÄN</t>
        </is>
      </c>
      <c r="G197" t="inlineStr">
        <is>
          <t>AVESTA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46310</v>
      </c>
      <c r="F198" t="inlineStr">
        <is>
          <t>DALARNAS LÄN</t>
        </is>
      </c>
      <c r="G198" t="inlineStr">
        <is>
          <t>AVESTA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46310</v>
      </c>
      <c r="F199" t="inlineStr">
        <is>
          <t>DALARNAS LÄN</t>
        </is>
      </c>
      <c r="G199" t="inlineStr">
        <is>
          <t>AVESTA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46310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46310</v>
      </c>
      <c r="F201" t="inlineStr">
        <is>
          <t>DALARNAS LÄN</t>
        </is>
      </c>
      <c r="G201" t="inlineStr">
        <is>
          <t>AVESTA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50682-2024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45602</v>
      </c>
      <c r="E202" s="1" t="n">
        <v>46310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46310</v>
      </c>
      <c r="F203" t="inlineStr">
        <is>
          <t>DALARNAS LÄN</t>
        </is>
      </c>
      <c r="G203" t="inlineStr">
        <is>
          <t>AVESTA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46310</v>
      </c>
      <c r="F204" t="inlineStr">
        <is>
          <t>DALARNAS LÄN</t>
        </is>
      </c>
      <c r="G204" t="inlineStr">
        <is>
          <t>AVESTA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46310</v>
      </c>
      <c r="F205" t="inlineStr">
        <is>
          <t>DALARNAS LÄN</t>
        </is>
      </c>
      <c r="G205" t="inlineStr">
        <is>
          <t>AVESTA</t>
        </is>
      </c>
      <c r="H205" t="inlineStr">
        <is>
          <t>Bergvik skog väst AB</t>
        </is>
      </c>
      <c r="I205" t="n">
        <v>12.1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46310</v>
      </c>
      <c r="F206" t="inlineStr">
        <is>
          <t>DALARNAS LÄN</t>
        </is>
      </c>
      <c r="G206" t="inlineStr">
        <is>
          <t>AVESTA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46310</v>
      </c>
      <c r="F207" t="inlineStr">
        <is>
          <t>DALARNAS LÄN</t>
        </is>
      </c>
      <c r="G207" t="inlineStr">
        <is>
          <t>AVESTA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46310</v>
      </c>
      <c r="F208" t="inlineStr">
        <is>
          <t>DALARNAS LÄN</t>
        </is>
      </c>
      <c r="G208" t="inlineStr">
        <is>
          <t>AVESTA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46310</v>
      </c>
      <c r="F209" t="inlineStr">
        <is>
          <t>DALARNAS LÄN</t>
        </is>
      </c>
      <c r="G209" t="inlineStr">
        <is>
          <t>AVESTA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46310</v>
      </c>
      <c r="F210" t="inlineStr">
        <is>
          <t>DALARNAS LÄN</t>
        </is>
      </c>
      <c r="G210" t="inlineStr">
        <is>
          <t>AVESTA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45008</v>
      </c>
      <c r="E211" s="1" t="n">
        <v>46310</v>
      </c>
      <c r="F211" t="inlineStr">
        <is>
          <t>DALARNAS LÄN</t>
        </is>
      </c>
      <c r="G211" t="inlineStr">
        <is>
          <t>AVESTA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46310</v>
      </c>
      <c r="F212" t="inlineStr">
        <is>
          <t>DALARNAS LÄN</t>
        </is>
      </c>
      <c r="G212" t="inlineStr">
        <is>
          <t>AVESTA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46310</v>
      </c>
      <c r="F213" t="inlineStr">
        <is>
          <t>DALARNAS LÄN</t>
        </is>
      </c>
      <c r="G213" t="inlineStr">
        <is>
          <t>AVESTA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46310</v>
      </c>
      <c r="F214" t="inlineStr">
        <is>
          <t>DALARNAS LÄN</t>
        </is>
      </c>
      <c r="G214" t="inlineStr">
        <is>
          <t>AVESTA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45734</v>
      </c>
      <c r="E215" s="1" t="n">
        <v>46310</v>
      </c>
      <c r="F215" t="inlineStr">
        <is>
          <t>DALARNAS LÄN</t>
        </is>
      </c>
      <c r="G215" t="inlineStr">
        <is>
          <t>AVESTA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46310</v>
      </c>
      <c r="F216" t="inlineStr">
        <is>
          <t>DALARNAS LÄN</t>
        </is>
      </c>
      <c r="G216" t="inlineStr">
        <is>
          <t>AVESTA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46310</v>
      </c>
      <c r="F217" t="inlineStr">
        <is>
          <t>DALARNAS LÄN</t>
        </is>
      </c>
      <c r="G217" t="inlineStr">
        <is>
          <t>AVESTA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45370</v>
      </c>
      <c r="E218" s="1" t="n">
        <v>46310</v>
      </c>
      <c r="F218" t="inlineStr">
        <is>
          <t>DALARNAS LÄN</t>
        </is>
      </c>
      <c r="G218" t="inlineStr">
        <is>
          <t>AVESTA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46310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46310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44581</v>
      </c>
      <c r="E221" s="1" t="n">
        <v>46310</v>
      </c>
      <c r="F221" t="inlineStr">
        <is>
          <t>DALARNAS LÄN</t>
        </is>
      </c>
      <c r="G221" t="inlineStr">
        <is>
          <t>AVESTA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46310</v>
      </c>
      <c r="F222" t="inlineStr">
        <is>
          <t>DALARNAS LÄN</t>
        </is>
      </c>
      <c r="G222" t="inlineStr">
        <is>
          <t>AVESTA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46310</v>
      </c>
      <c r="F223" t="inlineStr">
        <is>
          <t>DALARNAS LÄN</t>
        </is>
      </c>
      <c r="G223" t="inlineStr">
        <is>
          <t>AVESTA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46310</v>
      </c>
      <c r="F224" t="inlineStr">
        <is>
          <t>DALARNAS LÄN</t>
        </is>
      </c>
      <c r="G224" t="inlineStr">
        <is>
          <t>AVESTA</t>
        </is>
      </c>
      <c r="I224" t="n">
        <v>17.6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46310</v>
      </c>
      <c r="F225" t="inlineStr">
        <is>
          <t>DALARNAS LÄN</t>
        </is>
      </c>
      <c r="G225" t="inlineStr">
        <is>
          <t>AVESTA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46310</v>
      </c>
      <c r="F226" t="inlineStr">
        <is>
          <t>DALARNAS LÄN</t>
        </is>
      </c>
      <c r="G226" t="inlineStr">
        <is>
          <t>AVESTA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46310</v>
      </c>
      <c r="F227" t="inlineStr">
        <is>
          <t>DALARNAS LÄN</t>
        </is>
      </c>
      <c r="G227" t="inlineStr">
        <is>
          <t>AVESTA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46310</v>
      </c>
      <c r="F228" t="inlineStr">
        <is>
          <t>DALARNAS LÄN</t>
        </is>
      </c>
      <c r="G228" t="inlineStr">
        <is>
          <t>AVESTA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46310</v>
      </c>
      <c r="F229" t="inlineStr">
        <is>
          <t>DALARNAS LÄN</t>
        </is>
      </c>
      <c r="G229" t="inlineStr">
        <is>
          <t>AVESTA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46310</v>
      </c>
      <c r="F230" t="inlineStr">
        <is>
          <t>DALARNAS LÄN</t>
        </is>
      </c>
      <c r="G230" t="inlineStr">
        <is>
          <t>AVESTA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46155</v>
      </c>
      <c r="E231" s="1" t="n">
        <v>46310</v>
      </c>
      <c r="F231" t="inlineStr">
        <is>
          <t>DALARNAS LÄN</t>
        </is>
      </c>
      <c r="G231" t="inlineStr">
        <is>
          <t>AVESTA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46310</v>
      </c>
      <c r="F232" t="inlineStr">
        <is>
          <t>DALARNAS LÄN</t>
        </is>
      </c>
      <c r="G232" t="inlineStr">
        <is>
          <t>AVESTA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46310</v>
      </c>
      <c r="F233" t="inlineStr">
        <is>
          <t>DALARNAS LÄN</t>
        </is>
      </c>
      <c r="G233" t="inlineStr">
        <is>
          <t>AVESTA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44876</v>
      </c>
      <c r="E234" s="1" t="n">
        <v>46310</v>
      </c>
      <c r="F234" t="inlineStr">
        <is>
          <t>DALARNAS LÄN</t>
        </is>
      </c>
      <c r="G234" t="inlineStr">
        <is>
          <t>AVESTA</t>
        </is>
      </c>
      <c r="H234" t="inlineStr">
        <is>
          <t>Kyrkan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19359-2025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45769</v>
      </c>
      <c r="E235" s="1" t="n">
        <v>46310</v>
      </c>
      <c r="F235" t="inlineStr">
        <is>
          <t>DALARNAS LÄN</t>
        </is>
      </c>
      <c r="G235" t="inlineStr">
        <is>
          <t>AVESTA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46310</v>
      </c>
      <c r="F236" t="inlineStr">
        <is>
          <t>DALARNAS LÄN</t>
        </is>
      </c>
      <c r="G236" t="inlineStr">
        <is>
          <t>AVESTA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46310</v>
      </c>
      <c r="F237" t="inlineStr">
        <is>
          <t>DALARNAS LÄN</t>
        </is>
      </c>
      <c r="G237" t="inlineStr">
        <is>
          <t>AVESTA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46310</v>
      </c>
      <c r="F238" t="inlineStr">
        <is>
          <t>DALARNAS LÄN</t>
        </is>
      </c>
      <c r="G238" t="inlineStr">
        <is>
          <t>AVESTA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45274</v>
      </c>
      <c r="E239" s="1" t="n">
        <v>46310</v>
      </c>
      <c r="F239" t="inlineStr">
        <is>
          <t>DALARNAS LÄN</t>
        </is>
      </c>
      <c r="G239" t="inlineStr">
        <is>
          <t>AVESTA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45649</v>
      </c>
      <c r="E240" s="1" t="n">
        <v>46310</v>
      </c>
      <c r="F240" t="inlineStr">
        <is>
          <t>DALARNAS LÄN</t>
        </is>
      </c>
      <c r="G240" t="inlineStr">
        <is>
          <t>AVESTA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46310</v>
      </c>
      <c r="F241" t="inlineStr">
        <is>
          <t>DALARNAS LÄN</t>
        </is>
      </c>
      <c r="G241" t="inlineStr">
        <is>
          <t>AVESTA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44839</v>
      </c>
      <c r="E242" s="1" t="n">
        <v>46310</v>
      </c>
      <c r="F242" t="inlineStr">
        <is>
          <t>DALARNAS LÄN</t>
        </is>
      </c>
      <c r="G242" t="inlineStr">
        <is>
          <t>AVESTA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46310</v>
      </c>
      <c r="F243" t="inlineStr">
        <is>
          <t>DALARNAS LÄN</t>
        </is>
      </c>
      <c r="G243" t="inlineStr">
        <is>
          <t>AVESTA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46310</v>
      </c>
      <c r="F244" t="inlineStr">
        <is>
          <t>DALARNAS LÄN</t>
        </is>
      </c>
      <c r="G244" t="inlineStr">
        <is>
          <t>AVESTA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45505</v>
      </c>
      <c r="E245" s="1" t="n">
        <v>46310</v>
      </c>
      <c r="F245" t="inlineStr">
        <is>
          <t>DALARNAS LÄN</t>
        </is>
      </c>
      <c r="G245" t="inlineStr">
        <is>
          <t>AVESTA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73377-2021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44551</v>
      </c>
      <c r="E246" s="1" t="n">
        <v>46310</v>
      </c>
      <c r="F246" t="inlineStr">
        <is>
          <t>DALARNAS LÄN</t>
        </is>
      </c>
      <c r="G246" t="inlineStr">
        <is>
          <t>AVESTA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46310</v>
      </c>
      <c r="F247" t="inlineStr">
        <is>
          <t>DALARNAS LÄN</t>
        </is>
      </c>
      <c r="G247" t="inlineStr">
        <is>
          <t>AVESTA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46310</v>
      </c>
      <c r="F248" t="inlineStr">
        <is>
          <t>DALARNAS LÄN</t>
        </is>
      </c>
      <c r="G248" t="inlineStr">
        <is>
          <t>AVESTA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46310</v>
      </c>
      <c r="F249" t="inlineStr">
        <is>
          <t>DALARNAS LÄN</t>
        </is>
      </c>
      <c r="G249" t="inlineStr">
        <is>
          <t>AVESTA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44971</v>
      </c>
      <c r="E250" s="1" t="n">
        <v>46310</v>
      </c>
      <c r="F250" t="inlineStr">
        <is>
          <t>DALARNAS LÄN</t>
        </is>
      </c>
      <c r="G250" t="inlineStr">
        <is>
          <t>AVESTA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46310</v>
      </c>
      <c r="F251" t="inlineStr">
        <is>
          <t>DALARNAS LÄN</t>
        </is>
      </c>
      <c r="G251" t="inlineStr">
        <is>
          <t>AVESTA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46310</v>
      </c>
      <c r="F252" t="inlineStr">
        <is>
          <t>DALARNAS LÄN</t>
        </is>
      </c>
      <c r="G252" t="inlineStr">
        <is>
          <t>AVESTA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46310</v>
      </c>
      <c r="F253" t="inlineStr">
        <is>
          <t>DALARNAS LÄN</t>
        </is>
      </c>
      <c r="G253" t="inlineStr">
        <is>
          <t>AVESTA</t>
        </is>
      </c>
      <c r="I253" t="n">
        <v>19.2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46310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46124</v>
      </c>
      <c r="E255" s="1" t="n">
        <v>46310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46310</v>
      </c>
      <c r="F256" t="inlineStr">
        <is>
          <t>DALARNAS LÄN</t>
        </is>
      </c>
      <c r="G256" t="inlineStr">
        <is>
          <t>AVESTA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44734</v>
      </c>
      <c r="E257" s="1" t="n">
        <v>46310</v>
      </c>
      <c r="F257" t="inlineStr">
        <is>
          <t>DALARNAS LÄN</t>
        </is>
      </c>
      <c r="G257" t="inlineStr">
        <is>
          <t>AVESTA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46310</v>
      </c>
      <c r="F258" t="inlineStr">
        <is>
          <t>DALARNAS LÄN</t>
        </is>
      </c>
      <c r="G258" t="inlineStr">
        <is>
          <t>AVESTA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46310</v>
      </c>
      <c r="F259" t="inlineStr">
        <is>
          <t>DALARNAS LÄN</t>
        </is>
      </c>
      <c r="G259" t="inlineStr">
        <is>
          <t>AVESTA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46310</v>
      </c>
      <c r="F260" t="inlineStr">
        <is>
          <t>DALARNAS LÄN</t>
        </is>
      </c>
      <c r="G260" t="inlineStr">
        <is>
          <t>AVESTA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46310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28227-2026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46196</v>
      </c>
      <c r="E262" s="1" t="n">
        <v>46310</v>
      </c>
      <c r="F262" t="inlineStr">
        <is>
          <t>DALARNAS LÄN</t>
        </is>
      </c>
      <c r="G262" t="inlineStr">
        <is>
          <t>AVESTA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46310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46310</v>
      </c>
      <c r="F264" t="inlineStr">
        <is>
          <t>DALARNAS LÄN</t>
        </is>
      </c>
      <c r="G264" t="inlineStr">
        <is>
          <t>AVESTA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46310</v>
      </c>
      <c r="F265" t="inlineStr">
        <is>
          <t>DALARNAS LÄN</t>
        </is>
      </c>
      <c r="G265" t="inlineStr">
        <is>
          <t>AVESTA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45191</v>
      </c>
      <c r="E266" s="1" t="n">
        <v>46310</v>
      </c>
      <c r="F266" t="inlineStr">
        <is>
          <t>DALARNAS LÄN</t>
        </is>
      </c>
      <c r="G266" t="inlineStr">
        <is>
          <t>AVESTA</t>
        </is>
      </c>
      <c r="H266" t="inlineStr">
        <is>
          <t>Bergvik skog väst AB</t>
        </is>
      </c>
      <c r="I266" t="n">
        <v>12.2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44739</v>
      </c>
      <c r="E267" s="1" t="n">
        <v>46310</v>
      </c>
      <c r="F267" t="inlineStr">
        <is>
          <t>DALARNAS LÄN</t>
        </is>
      </c>
      <c r="G267" t="inlineStr">
        <is>
          <t>AVESTA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46310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21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45231</v>
      </c>
      <c r="E269" s="1" t="n">
        <v>46310</v>
      </c>
      <c r="F269" t="inlineStr">
        <is>
          <t>DALARNAS LÄN</t>
        </is>
      </c>
      <c r="G269" t="inlineStr">
        <is>
          <t>AVESTA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58094-2022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46310</v>
      </c>
      <c r="F270" t="inlineStr">
        <is>
          <t>DALARNAS LÄN</t>
        </is>
      </c>
      <c r="G270" t="inlineStr">
        <is>
          <t>AVESTA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46310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46310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45549</v>
      </c>
      <c r="E273" s="1" t="n">
        <v>46310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46168</v>
      </c>
      <c r="E274" s="1" t="n">
        <v>46310</v>
      </c>
      <c r="F274" t="inlineStr">
        <is>
          <t>DALARNAS LÄN</t>
        </is>
      </c>
      <c r="G274" t="inlineStr">
        <is>
          <t>AVESTA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46275</v>
      </c>
      <c r="E275" s="1" t="n">
        <v>46310</v>
      </c>
      <c r="F275" t="inlineStr">
        <is>
          <t>DALARNAS LÄN</t>
        </is>
      </c>
      <c r="G275" t="inlineStr">
        <is>
          <t>AVESTA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46283</v>
      </c>
      <c r="E276" s="1" t="n">
        <v>46310</v>
      </c>
      <c r="F276" t="inlineStr">
        <is>
          <t>DALARNAS LÄN</t>
        </is>
      </c>
      <c r="G276" t="inlineStr">
        <is>
          <t>AVESTA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38553-2026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46283</v>
      </c>
      <c r="E277" s="1" t="n">
        <v>46310</v>
      </c>
      <c r="F277" t="inlineStr">
        <is>
          <t>DALARNAS LÄN</t>
        </is>
      </c>
      <c r="G277" t="inlineStr">
        <is>
          <t>AVESTA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44613</v>
      </c>
      <c r="E278" s="1" t="n">
        <v>46310</v>
      </c>
      <c r="F278" t="inlineStr">
        <is>
          <t>DALARNAS LÄN</t>
        </is>
      </c>
      <c r="G278" t="inlineStr">
        <is>
          <t>AVESTA</t>
        </is>
      </c>
      <c r="I278" t="n">
        <v>12.9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46310</v>
      </c>
      <c r="F279" t="inlineStr">
        <is>
          <t>DALARNAS LÄN</t>
        </is>
      </c>
      <c r="G279" t="inlineStr">
        <is>
          <t>AVESTA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44840</v>
      </c>
      <c r="E280" s="1" t="n">
        <v>46310</v>
      </c>
      <c r="F280" t="inlineStr">
        <is>
          <t>DALARNAS LÄN</t>
        </is>
      </c>
      <c r="G280" t="inlineStr">
        <is>
          <t>AVESTA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46310</v>
      </c>
      <c r="F281" t="inlineStr">
        <is>
          <t>DALARNAS LÄN</t>
        </is>
      </c>
      <c r="G281" t="inlineStr">
        <is>
          <t>AVESTA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46310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45473</v>
      </c>
      <c r="E283" s="1" t="n">
        <v>46310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46310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46244</v>
      </c>
      <c r="E285" s="1" t="n">
        <v>46310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46310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52767-2022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44875</v>
      </c>
      <c r="E287" s="1" t="n">
        <v>46310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46310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45008</v>
      </c>
      <c r="E289" s="1" t="n">
        <v>46310</v>
      </c>
      <c r="F289" t="inlineStr">
        <is>
          <t>DALARNAS LÄN</t>
        </is>
      </c>
      <c r="G289" t="inlineStr">
        <is>
          <t>AVESTA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46310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49.9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46310</v>
      </c>
      <c r="F291" t="inlineStr">
        <is>
          <t>DALARNAS LÄN</t>
        </is>
      </c>
      <c r="G291" t="inlineStr">
        <is>
          <t>AVESTA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45316</v>
      </c>
      <c r="E292" s="1" t="n">
        <v>46310</v>
      </c>
      <c r="F292" t="inlineStr">
        <is>
          <t>DALARNAS LÄN</t>
        </is>
      </c>
      <c r="G292" t="inlineStr">
        <is>
          <t>AVESTA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46310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46310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45877</v>
      </c>
      <c r="E295" s="1" t="n">
        <v>46310</v>
      </c>
      <c r="F295" t="inlineStr">
        <is>
          <t>DALARNAS LÄN</t>
        </is>
      </c>
      <c r="G295" t="inlineStr">
        <is>
          <t>AVESTA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46310</v>
      </c>
      <c r="F296" t="inlineStr">
        <is>
          <t>DALARNAS LÄN</t>
        </is>
      </c>
      <c r="G296" t="inlineStr">
        <is>
          <t>AVESTA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50681-2024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45602</v>
      </c>
      <c r="E297" s="1" t="n">
        <v>46310</v>
      </c>
      <c r="F297" t="inlineStr">
        <is>
          <t>DALARNAS LÄN</t>
        </is>
      </c>
      <c r="G297" t="inlineStr">
        <is>
          <t>AVESTA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44739</v>
      </c>
      <c r="E298" s="1" t="n">
        <v>46310</v>
      </c>
      <c r="F298" t="inlineStr">
        <is>
          <t>DALARNAS LÄN</t>
        </is>
      </c>
      <c r="G298" t="inlineStr">
        <is>
          <t>AVESTA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45538</v>
      </c>
      <c r="E299" s="1" t="n">
        <v>46310</v>
      </c>
      <c r="F299" t="inlineStr">
        <is>
          <t>DALARNAS LÄN</t>
        </is>
      </c>
      <c r="G299" t="inlineStr">
        <is>
          <t>AVESTA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46310</v>
      </c>
      <c r="F300" t="inlineStr">
        <is>
          <t>DALARNAS LÄN</t>
        </is>
      </c>
      <c r="G300" t="inlineStr">
        <is>
          <t>AVESTA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34021-2026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46252</v>
      </c>
      <c r="E301" s="1" t="n">
        <v>46310</v>
      </c>
      <c r="F301" t="inlineStr">
        <is>
          <t>DALARNAS LÄN</t>
        </is>
      </c>
      <c r="G301" t="inlineStr">
        <is>
          <t>AVESTA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46297</v>
      </c>
      <c r="E302" s="1" t="n">
        <v>46310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46310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46310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46310</v>
      </c>
      <c r="F305" t="inlineStr">
        <is>
          <t>DALARNAS LÄN</t>
        </is>
      </c>
      <c r="G305" t="inlineStr">
        <is>
          <t>AVESTA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46310</v>
      </c>
      <c r="F306" t="inlineStr">
        <is>
          <t>DALARNAS LÄN</t>
        </is>
      </c>
      <c r="G306" t="inlineStr">
        <is>
          <t>AVESTA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46310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46301</v>
      </c>
      <c r="E308" s="1" t="n">
        <v>46310</v>
      </c>
      <c r="F308" t="inlineStr">
        <is>
          <t>DALARNAS LÄN</t>
        </is>
      </c>
      <c r="G308" t="inlineStr">
        <is>
          <t>AVESTA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46301</v>
      </c>
      <c r="E309" s="1" t="n">
        <v>46310</v>
      </c>
      <c r="F309" t="inlineStr">
        <is>
          <t>DALARNAS LÄN</t>
        </is>
      </c>
      <c r="G309" t="inlineStr">
        <is>
          <t>AVESTA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32770-2023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45123</v>
      </c>
      <c r="E310" s="1" t="n">
        <v>46310</v>
      </c>
      <c r="F310" t="inlineStr">
        <is>
          <t>DALARNAS LÄN</t>
        </is>
      </c>
      <c r="G310" t="inlineStr">
        <is>
          <t>AVESTA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46310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45721</v>
      </c>
      <c r="E312" s="1" t="n">
        <v>46310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46310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46310</v>
      </c>
      <c r="F314" t="inlineStr">
        <is>
          <t>DALARNAS LÄN</t>
        </is>
      </c>
      <c r="G314" t="inlineStr">
        <is>
          <t>AVESTA</t>
        </is>
      </c>
      <c r="H314" t="inlineStr">
        <is>
          <t>Bergvik skog väst AB</t>
        </is>
      </c>
      <c r="I314" t="n">
        <v>37.2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23500-2024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46310</v>
      </c>
      <c r="F315" t="inlineStr">
        <is>
          <t>DALARNAS LÄN</t>
        </is>
      </c>
      <c r="G315" t="inlineStr">
        <is>
          <t>AVESTA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46301</v>
      </c>
      <c r="E316" s="1" t="n">
        <v>46310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46310</v>
      </c>
      <c r="F317" t="inlineStr">
        <is>
          <t>DALARNAS LÄN</t>
        </is>
      </c>
      <c r="G317" t="inlineStr">
        <is>
          <t>AVESTA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46261</v>
      </c>
      <c r="E318" s="1" t="n">
        <v>46310</v>
      </c>
      <c r="F318" t="inlineStr">
        <is>
          <t>DALARNAS LÄN</t>
        </is>
      </c>
      <c r="G318" t="inlineStr">
        <is>
          <t>AVESTA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20942-2025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45777</v>
      </c>
      <c r="E319" s="1" t="n">
        <v>46310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46310</v>
      </c>
      <c r="F320" t="inlineStr">
        <is>
          <t>DALARNAS LÄN</t>
        </is>
      </c>
      <c r="G320" t="inlineStr">
        <is>
          <t>AVESTA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45369</v>
      </c>
      <c r="E321" s="1" t="n">
        <v>46310</v>
      </c>
      <c r="F321" t="inlineStr">
        <is>
          <t>DALARNAS LÄN</t>
        </is>
      </c>
      <c r="G321" t="inlineStr">
        <is>
          <t>AVESTA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46307</v>
      </c>
      <c r="E322" s="1" t="n">
        <v>46310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46307</v>
      </c>
      <c r="E323" s="1" t="n">
        <v>46310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46310</v>
      </c>
      <c r="F324" t="inlineStr">
        <is>
          <t>DALARNAS LÄN</t>
        </is>
      </c>
      <c r="G324" t="inlineStr">
        <is>
          <t>AVESTA</t>
        </is>
      </c>
      <c r="H324" t="inlineStr">
        <is>
          <t>Sveaskog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46310</v>
      </c>
      <c r="F325" t="inlineStr">
        <is>
          <t>DALARNAS LÄN</t>
        </is>
      </c>
      <c r="G325" t="inlineStr">
        <is>
          <t>AVESTA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42272-2026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46307</v>
      </c>
      <c r="E326" s="1" t="n">
        <v>46310</v>
      </c>
      <c r="F326" t="inlineStr">
        <is>
          <t>DALARNAS LÄN</t>
        </is>
      </c>
      <c r="G326" t="inlineStr">
        <is>
          <t>AVESTA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46310</v>
      </c>
      <c r="F327" t="inlineStr">
        <is>
          <t>DALARNAS LÄN</t>
        </is>
      </c>
      <c r="G327" t="inlineStr">
        <is>
          <t>AVESTA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46310</v>
      </c>
      <c r="F328" t="inlineStr">
        <is>
          <t>DALARNAS LÄN</t>
        </is>
      </c>
      <c r="G328" t="inlineStr">
        <is>
          <t>AVESTA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46309</v>
      </c>
      <c r="E329" s="1" t="n">
        <v>46310</v>
      </c>
      <c r="F329" t="inlineStr">
        <is>
          <t>DALARNAS LÄN</t>
        </is>
      </c>
      <c r="G329" t="inlineStr">
        <is>
          <t>AVESTA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45510</v>
      </c>
      <c r="E330" s="1" t="n">
        <v>46310</v>
      </c>
      <c r="F330" t="inlineStr">
        <is>
          <t>DALARNAS LÄN</t>
        </is>
      </c>
      <c r="G330" t="inlineStr">
        <is>
          <t>AVESTA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45316</v>
      </c>
      <c r="E331" s="1" t="n">
        <v>46310</v>
      </c>
      <c r="F331" t="inlineStr">
        <is>
          <t>DALARNAS LÄN</t>
        </is>
      </c>
      <c r="G331" t="inlineStr">
        <is>
          <t>AVESTA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46310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46310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46310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46310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46310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46310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46310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46310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2026-10-15T02:02:03Z</dcterms:created>
  <dcterms:modified xmlns:dcterms="http://purl.org/dc/terms/" xmlns:xsi="http://www.w3.org/2001/XMLSchema-instance" xsi:type="dcterms:W3CDTF">2026-10-15T02:02:03Z</dcterms:modified>
</cp:coreProperties>
</file>