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46324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46324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46324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37.2</v>
      </c>
      <c r="J4" t="n">
        <v>0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7</v>
      </c>
      <c r="T4" t="n">
        <v>11</v>
      </c>
      <c r="U4" t="n">
        <v>11</v>
      </c>
      <c r="V4" s="2" t="inlineStr">
        <is>
          <t>Dropptaggsvamp
Dvärgbägarlav
Kortskaftad ärgspik
Tallticka
Ullticka
Vedskivlav
Vedticka</t>
        </is>
      </c>
      <c r="W4">
        <f>HYPERLINK("https://klasma.github.io/Logging_2084/artfynd/A 31116-2023 artfynd.xlsx", "A 31116-2023")</f>
        <v/>
      </c>
      <c r="X4">
        <f>HYPERLINK("https://klasma.github.io/Logging_2084/kartor/A 31116-2023 karta.png", "A 31116-2023")</f>
        <v/>
      </c>
      <c r="Y4">
        <f>HYPERLINK("https://klasma.github.io/Logging_2084/kartor_geotiff/A 31116-2023 georefererad karta.tif", "A 31116-2023")</f>
        <v/>
      </c>
      <c r="AA4">
        <f>HYPERLINK("https://klasma.github.io/Logging_2084/klagomål/A 31116-2023 FSC-klagomål.docx", "A 31116-2023")</f>
        <v/>
      </c>
      <c r="AB4">
        <f>HYPERLINK("https://klasma.github.io/Logging_2084/klagomålsmail/A 31116-2023 FSC-klagomål mail.docx", "A 31116-2023")</f>
        <v/>
      </c>
      <c r="AC4">
        <f>HYPERLINK("https://klasma.github.io/Logging_2084/tillsyn/A 31116-2023 tillsynsbegäran.docx", "A 31116-2023")</f>
        <v/>
      </c>
      <c r="AD4">
        <f>HYPERLINK("https://klasma.github.io/Logging_2084/tillsynsmail/A 31116-2023 tillsynsbegäran mail.docx", "A 31116-2023")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46324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41525-2026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46301</v>
      </c>
      <c r="E6" s="1" t="n">
        <v>46324</v>
      </c>
      <c r="F6" t="inlineStr">
        <is>
          <t>DALARNAS LÄN</t>
        </is>
      </c>
      <c r="G6" t="inlineStr">
        <is>
          <t>AVESTA</t>
        </is>
      </c>
      <c r="I6" t="n">
        <v>11.1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Motaggsvamp
Nordfladdermus
Spillkråka
Svartvit flugsnappare</t>
        </is>
      </c>
      <c r="W6">
        <f>HYPERLINK("https://klasma.github.io/Logging_2084/artfynd/A 41525-2026 artfynd.xlsx", "A 41525-2026")</f>
        <v/>
      </c>
      <c r="X6">
        <f>HYPERLINK("https://klasma.github.io/Logging_2084/kartor/A 41525-2026 karta.png", "A 41525-2026")</f>
        <v/>
      </c>
      <c r="Y6">
        <f>HYPERLINK("https://klasma.github.io/Logging_2084/kartor_geotiff/A 41525-2026 georefererad karta.tif", "A 41525-2026")</f>
        <v/>
      </c>
      <c r="AA6">
        <f>HYPERLINK("https://klasma.github.io/Logging_2084/klagomål/A 41525-2026 FSC-klagomål.docx", "A 41525-2026")</f>
        <v/>
      </c>
      <c r="AB6">
        <f>HYPERLINK("https://klasma.github.io/Logging_2084/klagomålsmail/A 41525-2026 FSC-klagomål mail.docx", "A 41525-2026")</f>
        <v/>
      </c>
      <c r="AC6">
        <f>HYPERLINK("https://klasma.github.io/Logging_2084/tillsyn/A 41525-2026 tillsynsbegäran.docx", "A 41525-2026")</f>
        <v/>
      </c>
      <c r="AD6">
        <f>HYPERLINK("https://klasma.github.io/Logging_2084/tillsynsmail/A 41525-2026 tillsynsbegäran mail.docx", "A 41525-2026")</f>
        <v/>
      </c>
      <c r="AE6">
        <f>HYPERLINK("https://klasma.github.io/Logging_2084/fåglar/A 41525-2026 prioriterade fågelarter.docx", "A 41525-2026")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46324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46324</v>
      </c>
      <c r="F8" t="inlineStr">
        <is>
          <t>DALARNAS LÄN</t>
        </is>
      </c>
      <c r="G8" t="inlineStr">
        <is>
          <t>AVESTA</t>
        </is>
      </c>
      <c r="H8" t="inlineStr">
        <is>
          <t>Bergvik skog väst AB</t>
        </is>
      </c>
      <c r="I8" t="n">
        <v>4.3</v>
      </c>
      <c r="J8" t="n">
        <v>0</v>
      </c>
      <c r="K8" t="n">
        <v>2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4</v>
      </c>
      <c r="U8" t="n">
        <v>4</v>
      </c>
      <c r="V8" s="2" t="inlineStr">
        <is>
          <t>Klosterlav
Liten blekspik
Dvärgtufs
Rostfläck</t>
        </is>
      </c>
      <c r="W8">
        <f>HYPERLINK("https://klasma.github.io/Logging_2084/artfynd/A 31138-2023 artfynd.xlsx", "A 31138-2023")</f>
        <v/>
      </c>
      <c r="X8">
        <f>HYPERLINK("https://klasma.github.io/Logging_2084/kartor/A 31138-2023 karta.png", "A 31138-2023")</f>
        <v/>
      </c>
      <c r="Y8">
        <f>HYPERLINK("https://klasma.github.io/Logging_2084/kartor_geotiff/A 31138-2023 georefererad karta.tif", "A 31138-2023")</f>
        <v/>
      </c>
      <c r="AA8">
        <f>HYPERLINK("https://klasma.github.io/Logging_2084/klagomål/A 31138-2023 FSC-klagomål.docx", "A 31138-2023")</f>
        <v/>
      </c>
      <c r="AB8">
        <f>HYPERLINK("https://klasma.github.io/Logging_2084/klagomålsmail/A 31138-2023 FSC-klagomål mail.docx", "A 31138-2023")</f>
        <v/>
      </c>
      <c r="AC8">
        <f>HYPERLINK("https://klasma.github.io/Logging_2084/tillsyn/A 31138-2023 tillsynsbegäran.docx", "A 31138-2023")</f>
        <v/>
      </c>
      <c r="AD8">
        <f>HYPERLINK("https://klasma.github.io/Logging_2084/tillsynsmail/A 31138-2023 tillsynsbegäran mail.docx", "A 31138-2023")</f>
        <v/>
      </c>
    </row>
    <row r="9" ht="15" customHeight="1">
      <c r="A9" t="inlineStr">
        <is>
          <t>A 20396-2022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44699</v>
      </c>
      <c r="E9" s="1" t="n">
        <v>46324</v>
      </c>
      <c r="F9" t="inlineStr">
        <is>
          <t>DALARNAS LÄN</t>
        </is>
      </c>
      <c r="G9" t="inlineStr">
        <is>
          <t>AVESTA</t>
        </is>
      </c>
      <c r="I9" t="n">
        <v>3.3</v>
      </c>
      <c r="J9" t="n">
        <v>3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23</v>
      </c>
      <c r="U9" t="n">
        <v>23</v>
      </c>
      <c r="V9" s="2" t="inlineStr">
        <is>
          <t>Knärot
Bollvitmossa
Korallrot
Spillkråka</t>
        </is>
      </c>
      <c r="W9">
        <f>HYPERLINK("https://klasma.github.io/Logging_2084/artfynd/A 20396-2022 artfynd.xlsx", "A 20396-2022")</f>
        <v/>
      </c>
      <c r="X9">
        <f>HYPERLINK("https://klasma.github.io/Logging_2084/kartor/A 20396-2022 karta.png", "A 20396-2022")</f>
        <v/>
      </c>
      <c r="Y9">
        <f>HYPERLINK("https://klasma.github.io/Logging_2084/kartor_geotiff/A 20396-2022 georefererad karta.tif", "A 20396-2022")</f>
        <v/>
      </c>
      <c r="Z9">
        <f>HYPERLINK("https://klasma.github.io/Logging_2084/knärot/A 20396-2022 karta knärot.png", "A 20396-2022")</f>
        <v/>
      </c>
      <c r="AA9">
        <f>HYPERLINK("https://klasma.github.io/Logging_2084/klagomål/A 20396-2022 FSC-klagomål.docx", "A 20396-2022")</f>
        <v/>
      </c>
      <c r="AB9">
        <f>HYPERLINK("https://klasma.github.io/Logging_2084/klagomålsmail/A 20396-2022 FSC-klagomål mail.docx", "A 20396-2022")</f>
        <v/>
      </c>
      <c r="AC9">
        <f>HYPERLINK("https://klasma.github.io/Logging_2084/tillsyn/A 20396-2022 tillsynsbegäran.docx", "A 20396-2022")</f>
        <v/>
      </c>
      <c r="AD9">
        <f>HYPERLINK("https://klasma.github.io/Logging_2084/tillsynsmail/A 20396-2022 tillsynsbegäran mail.docx", "A 20396-2022")</f>
        <v/>
      </c>
      <c r="AE9">
        <f>HYPERLINK("https://klasma.github.io/Logging_2084/fåglar/A 20396-2022 prioriterade fågelarter.docx", "A 20396-2022")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46324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Knärot
Grönpyrola
Plattlummer</t>
        </is>
      </c>
      <c r="W10">
        <f>HYPERLINK("https://klasma.github.io/Logging_2084/artfynd/A 60367-2024 artfynd.xlsx", "A 60367-2024")</f>
        <v/>
      </c>
      <c r="X10">
        <f>HYPERLINK("https://klasma.github.io/Logging_2084/kartor/A 60367-2024 karta.png", "A 60367-2024")</f>
        <v/>
      </c>
      <c r="Y10">
        <f>HYPERLINK("https://klasma.github.io/Logging_2084/kartor_geotiff/A 60367-2024 georefererad karta.tif", "A 60367-2024")</f>
        <v/>
      </c>
      <c r="Z10">
        <f>HYPERLINK("https://klasma.github.io/Logging_2084/knärot/A 60367-2024 karta knärot.png", "A 60367-2024")</f>
        <v/>
      </c>
      <c r="AA10">
        <f>HYPERLINK("https://klasma.github.io/Logging_2084/klagomål/A 60367-2024 FSC-klagomål.docx", "A 60367-2024")</f>
        <v/>
      </c>
      <c r="AB10">
        <f>HYPERLINK("https://klasma.github.io/Logging_2084/klagomålsmail/A 60367-2024 FSC-klagomål mail.docx", "A 60367-2024")</f>
        <v/>
      </c>
      <c r="AC10">
        <f>HYPERLINK("https://klasma.github.io/Logging_2084/tillsyn/A 60367-2024 tillsynsbegäran.docx", "A 60367-2024")</f>
        <v/>
      </c>
      <c r="AD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46324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59921-2023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45257</v>
      </c>
      <c r="E12" s="1" t="n">
        <v>46324</v>
      </c>
      <c r="F12" t="inlineStr">
        <is>
          <t>DALARNAS LÄN</t>
        </is>
      </c>
      <c r="G12" t="inlineStr">
        <is>
          <t>AVESTA</t>
        </is>
      </c>
      <c r="I12" t="n">
        <v>0.4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Gulsparv
Talltita
Kungsfågel</t>
        </is>
      </c>
      <c r="W12">
        <f>HYPERLINK("https://klasma.github.io/Logging_2084/artfynd/A 59921-2023 artfynd.xlsx", "A 59921-2023")</f>
        <v/>
      </c>
      <c r="X12">
        <f>HYPERLINK("https://klasma.github.io/Logging_2084/kartor/A 59921-2023 karta.png", "A 59921-2023")</f>
        <v/>
      </c>
      <c r="Y12">
        <f>HYPERLINK("https://klasma.github.io/Logging_2084/kartor_geotiff/A 59921-2023 georefererad karta.tif", "A 59921-2023")</f>
        <v/>
      </c>
      <c r="AA12">
        <f>HYPERLINK("https://klasma.github.io/Logging_2084/klagomål/A 59921-2023 FSC-klagomål.docx", "A 59921-2023")</f>
        <v/>
      </c>
      <c r="AB12">
        <f>HYPERLINK("https://klasma.github.io/Logging_2084/klagomålsmail/A 59921-2023 FSC-klagomål mail.docx", "A 59921-2023")</f>
        <v/>
      </c>
      <c r="AC12">
        <f>HYPERLINK("https://klasma.github.io/Logging_2084/tillsyn/A 59921-2023 tillsynsbegäran.docx", "A 59921-2023")</f>
        <v/>
      </c>
      <c r="AD12">
        <f>HYPERLINK("https://klasma.github.io/Logging_2084/tillsynsmail/A 59921-2023 tillsynsbegäran mail.docx", "A 59921-2023")</f>
        <v/>
      </c>
      <c r="AE12">
        <f>HYPERLINK("https://klasma.github.io/Logging_2084/fåglar/A 59921-2023 prioriterade fågelarter.docx", "A 59921-2023")</f>
        <v/>
      </c>
    </row>
    <row r="13" ht="15" customHeight="1">
      <c r="A13" t="inlineStr">
        <is>
          <t>A 56085-2023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46324</v>
      </c>
      <c r="F13" t="inlineStr">
        <is>
          <t>DALARNAS LÄN</t>
        </is>
      </c>
      <c r="G13" t="inlineStr">
        <is>
          <t>AVESTA</t>
        </is>
      </c>
      <c r="I13" t="n">
        <v>2.7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Strandskinnlav
Rostfläck
Hårklomossa</t>
        </is>
      </c>
      <c r="W13">
        <f>HYPERLINK("https://klasma.github.io/Logging_2084/artfynd/A 56085-2023 artfynd.xlsx", "A 56085-2023")</f>
        <v/>
      </c>
      <c r="X13">
        <f>HYPERLINK("https://klasma.github.io/Logging_2084/kartor/A 56085-2023 karta.png", "A 56085-2023")</f>
        <v/>
      </c>
      <c r="Y13">
        <f>HYPERLINK("https://klasma.github.io/Logging_2084/kartor_geotiff/A 56085-2023 georefererad karta.tif", "A 56085-2023")</f>
        <v/>
      </c>
      <c r="AA13">
        <f>HYPERLINK("https://klasma.github.io/Logging_2084/klagomål/A 56085-2023 FSC-klagomål.docx", "A 56085-2023")</f>
        <v/>
      </c>
      <c r="AB13">
        <f>HYPERLINK("https://klasma.github.io/Logging_2084/klagomålsmail/A 56085-2023 FSC-klagomål mail.docx", "A 56085-2023")</f>
        <v/>
      </c>
      <c r="AC13">
        <f>HYPERLINK("https://klasma.github.io/Logging_2084/tillsyn/A 56085-2023 tillsynsbegäran.docx", "A 56085-2023")</f>
        <v/>
      </c>
      <c r="AD13">
        <f>HYPERLINK("https://klasma.github.io/Logging_2084/tillsynsmail/A 56085-2023 tillsynsbegäran mail.docx", "A 56085-2023")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46324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1688-2022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46324</v>
      </c>
      <c r="F15" t="inlineStr">
        <is>
          <t>DALARNAS LÄN</t>
        </is>
      </c>
      <c r="G15" t="inlineStr">
        <is>
          <t>AVESTA</t>
        </is>
      </c>
      <c r="I15" t="n">
        <v>10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22</v>
      </c>
      <c r="U15" t="n">
        <v>22</v>
      </c>
      <c r="V15" s="2" t="inlineStr">
        <is>
          <t>Knärot
Spillkråka</t>
        </is>
      </c>
      <c r="W15">
        <f>HYPERLINK("https://klasma.github.io/Logging_2084/artfynd/A 1688-2022 artfynd.xlsx", "A 1688-2022")</f>
        <v/>
      </c>
      <c r="X15">
        <f>HYPERLINK("https://klasma.github.io/Logging_2084/kartor/A 1688-2022 karta.png", "A 1688-2022")</f>
        <v/>
      </c>
      <c r="Y15">
        <f>HYPERLINK("https://klasma.github.io/Logging_2084/kartor_geotiff/A 1688-2022 georefererad karta.tif", "A 1688-2022")</f>
        <v/>
      </c>
      <c r="Z15">
        <f>HYPERLINK("https://klasma.github.io/Logging_2084/knärot/A 1688-2022 karta knärot.png", "A 1688-2022")</f>
        <v/>
      </c>
      <c r="AA15">
        <f>HYPERLINK("https://klasma.github.io/Logging_2084/klagomål/A 1688-2022 FSC-klagomål.docx", "A 1688-2022")</f>
        <v/>
      </c>
      <c r="AB15">
        <f>HYPERLINK("https://klasma.github.io/Logging_2084/klagomålsmail/A 1688-2022 FSC-klagomål mail.docx", "A 1688-2022")</f>
        <v/>
      </c>
      <c r="AC15">
        <f>HYPERLINK("https://klasma.github.io/Logging_2084/tillsyn/A 1688-2022 tillsynsbegäran.docx", "A 1688-2022")</f>
        <v/>
      </c>
      <c r="AD15">
        <f>HYPERLINK("https://klasma.github.io/Logging_2084/tillsynsmail/A 1688-2022 tillsynsbegäran mail.docx", "A 1688-2022")</f>
        <v/>
      </c>
      <c r="AE15">
        <f>HYPERLINK("https://klasma.github.io/Logging_2084/fåglar/A 1688-2022 prioriterade fågelarter.docx", "A 1688-2022")</f>
        <v/>
      </c>
    </row>
    <row r="16" ht="15" customHeight="1">
      <c r="A16" t="inlineStr">
        <is>
          <t>A 42290-2024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45562</v>
      </c>
      <c r="E16" s="1" t="n">
        <v>46324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0.7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Tjäder
Revlummer</t>
        </is>
      </c>
      <c r="W16">
        <f>HYPERLINK("https://klasma.github.io/Logging_2084/artfynd/A 42290-2024 artfynd.xlsx", "A 42290-2024")</f>
        <v/>
      </c>
      <c r="X16">
        <f>HYPERLINK("https://klasma.github.io/Logging_2084/kartor/A 42290-2024 karta.png", "A 42290-2024")</f>
        <v/>
      </c>
      <c r="Y16">
        <f>HYPERLINK("https://klasma.github.io/Logging_2084/kartor_geotiff/A 42290-2024 georefererad karta.tif", "A 42290-2024")</f>
        <v/>
      </c>
      <c r="AA16">
        <f>HYPERLINK("https://klasma.github.io/Logging_2084/klagomål/A 42290-2024 FSC-klagomål.docx", "A 42290-2024")</f>
        <v/>
      </c>
      <c r="AB16">
        <f>HYPERLINK("https://klasma.github.io/Logging_2084/klagomålsmail/A 42290-2024 FSC-klagomål mail.docx", "A 42290-2024")</f>
        <v/>
      </c>
      <c r="AC16">
        <f>HYPERLINK("https://klasma.github.io/Logging_2084/tillsyn/A 42290-2024 tillsynsbegäran.docx", "A 42290-2024")</f>
        <v/>
      </c>
      <c r="AD16">
        <f>HYPERLINK("https://klasma.github.io/Logging_2084/tillsynsmail/A 42290-2024 tillsynsbegäran mail.docx", "A 42290-2024")</f>
        <v/>
      </c>
      <c r="AE16">
        <f>HYPERLINK("https://klasma.github.io/Logging_2084/fåglar/A 42290-2024 prioriterade fågelarter.docx", "A 42290-2024")</f>
        <v/>
      </c>
    </row>
    <row r="17" ht="15" customHeight="1">
      <c r="A17" t="inlineStr">
        <is>
          <t>A 33201-2026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46246</v>
      </c>
      <c r="E17" s="1" t="n">
        <v>46324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Revlummer</t>
        </is>
      </c>
      <c r="W17">
        <f>HYPERLINK("https://klasma.github.io/Logging_2084/artfynd/A 33201-2026 artfynd.xlsx", "A 33201-2026")</f>
        <v/>
      </c>
      <c r="X17">
        <f>HYPERLINK("https://klasma.github.io/Logging_2084/kartor/A 33201-2026 karta.png", "A 33201-2026")</f>
        <v/>
      </c>
      <c r="Y17">
        <f>HYPERLINK("https://klasma.github.io/Logging_2084/kartor_geotiff/A 33201-2026 georefererad karta.tif", "A 33201-2026")</f>
        <v/>
      </c>
      <c r="AA17">
        <f>HYPERLINK("https://klasma.github.io/Logging_2084/klagomål/A 33201-2026 FSC-klagomål.docx", "A 33201-2026")</f>
        <v/>
      </c>
      <c r="AB17">
        <f>HYPERLINK("https://klasma.github.io/Logging_2084/klagomålsmail/A 33201-2026 FSC-klagomål mail.docx", "A 33201-2026")</f>
        <v/>
      </c>
      <c r="AC17">
        <f>HYPERLINK("https://klasma.github.io/Logging_2084/tillsyn/A 33201-2026 tillsynsbegäran.docx", "A 33201-2026")</f>
        <v/>
      </c>
      <c r="AD17">
        <f>HYPERLINK("https://klasma.github.io/Logging_2084/tillsynsmail/A 33201-2026 tillsynsbegäran mail.docx", "A 33201-2026")</f>
        <v/>
      </c>
    </row>
    <row r="18" ht="15" customHeight="1">
      <c r="A18" t="inlineStr">
        <is>
          <t>A 42684-2026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46309</v>
      </c>
      <c r="E18" s="1" t="n">
        <v>46324</v>
      </c>
      <c r="F18" t="inlineStr">
        <is>
          <t>DALARNAS LÄN</t>
        </is>
      </c>
      <c r="G18" t="inlineStr">
        <is>
          <t>AVESTA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Rävticka
Blåsippa</t>
        </is>
      </c>
      <c r="W18">
        <f>HYPERLINK("https://klasma.github.io/Logging_2084/artfynd/A 42684-2026 artfynd.xlsx", "A 42684-2026")</f>
        <v/>
      </c>
      <c r="X18">
        <f>HYPERLINK("https://klasma.github.io/Logging_2084/kartor/A 42684-2026 karta.png", "A 42684-2026")</f>
        <v/>
      </c>
      <c r="Y18">
        <f>HYPERLINK("https://klasma.github.io/Logging_2084/kartor_geotiff/A 42684-2026 georefererad karta.tif", "A 42684-2026")</f>
        <v/>
      </c>
      <c r="AA18">
        <f>HYPERLINK("https://klasma.github.io/Logging_2084/klagomål/A 42684-2026 FSC-klagomål.docx", "A 42684-2026")</f>
        <v/>
      </c>
      <c r="AB18">
        <f>HYPERLINK("https://klasma.github.io/Logging_2084/klagomålsmail/A 42684-2026 FSC-klagomål mail.docx", "A 42684-2026")</f>
        <v/>
      </c>
      <c r="AC18">
        <f>HYPERLINK("https://klasma.github.io/Logging_2084/tillsyn/A 42684-2026 tillsynsbegäran.docx", "A 42684-2026")</f>
        <v/>
      </c>
      <c r="AD18">
        <f>HYPERLINK("https://klasma.github.io/Logging_2084/tillsynsmail/A 42684-2026 tillsynsbegäran mail.docx", "A 42684-2026")</f>
        <v/>
      </c>
    </row>
    <row r="19" ht="15" customHeight="1">
      <c r="A19" t="inlineStr">
        <is>
          <t>S 322-2026</t>
        </is>
      </c>
      <c r="B19" t="inlineStr">
        <is>
          <t>samrådsanmälan</t>
        </is>
      </c>
      <c r="C19" t="inlineStr">
        <is>
          <t>Skogsgödsling</t>
        </is>
      </c>
      <c r="D19" s="1" t="n">
        <v>46059</v>
      </c>
      <c r="E19" s="1" t="n">
        <v>46324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26.8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Väddnätfjäril
Nordfladdermus</t>
        </is>
      </c>
      <c r="W19">
        <f>HYPERLINK("https://klasma.github.io/Logging_2084/artfynd/S 322-2026 artfynd.xlsx", "S 322-2026")</f>
        <v/>
      </c>
      <c r="X19">
        <f>HYPERLINK("https://klasma.github.io/Logging_2084/kartor/S 322-2026 karta.png", "S 322-2026")</f>
        <v/>
      </c>
      <c r="Y19">
        <f>HYPERLINK("https://klasma.github.io/Logging_2084/kartor_geotiff/S 322-2026 georefererad karta.tif", "S 322-2026")</f>
        <v/>
      </c>
      <c r="AA19">
        <f>HYPERLINK("https://klasma.github.io/Logging_2084/klagomål/S 322-2026 FSC-klagomål.docx", "S 322-2026")</f>
        <v/>
      </c>
      <c r="AB19">
        <f>HYPERLINK("https://klasma.github.io/Logging_2084/klagomålsmail/S 322-2026 FSC-klagomål mail.docx", "S 322-2026")</f>
        <v/>
      </c>
      <c r="AC19">
        <f>HYPERLINK("https://klasma.github.io/Logging_2084/tillsyn/S 322-2026 tillsynsbegäran.docx", "S 322-2026")</f>
        <v/>
      </c>
      <c r="AD19">
        <f>HYPERLINK("https://klasma.github.io/Logging_2084/tillsynsmail/S 322-2026 tillsynsbegäran mail.docx", "S 322-2026")</f>
        <v/>
      </c>
    </row>
    <row r="20" ht="15" customHeight="1">
      <c r="A20" t="inlineStr">
        <is>
          <t>A 12997-2022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44643</v>
      </c>
      <c r="E20" s="1" t="n">
        <v>46324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Tretåig hackspett</t>
        </is>
      </c>
      <c r="W20">
        <f>HYPERLINK("https://klasma.github.io/Logging_2084/artfynd/A 12997-2022 artfynd.xlsx", "A 12997-2022")</f>
        <v/>
      </c>
      <c r="X20">
        <f>HYPERLINK("https://klasma.github.io/Logging_2084/kartor/A 12997-2022 karta.png", "A 12997-2022")</f>
        <v/>
      </c>
      <c r="Y20">
        <f>HYPERLINK("https://klasma.github.io/Logging_2084/kartor_geotiff/A 12997-2022 georefererad karta.tif", "A 12997-2022")</f>
        <v/>
      </c>
      <c r="AA20">
        <f>HYPERLINK("https://klasma.github.io/Logging_2084/klagomål/A 12997-2022 FSC-klagomål.docx", "A 12997-2022")</f>
        <v/>
      </c>
      <c r="AB20">
        <f>HYPERLINK("https://klasma.github.io/Logging_2084/klagomålsmail/A 12997-2022 FSC-klagomål mail.docx", "A 12997-2022")</f>
        <v/>
      </c>
      <c r="AC20">
        <f>HYPERLINK("https://klasma.github.io/Logging_2084/tillsyn/A 12997-2022 tillsynsbegäran.docx", "A 12997-2022")</f>
        <v/>
      </c>
      <c r="AD20">
        <f>HYPERLINK("https://klasma.github.io/Logging_2084/tillsynsmail/A 12997-2022 tillsynsbegäran mail.docx", "A 12997-2022")</f>
        <v/>
      </c>
      <c r="AE20">
        <f>HYPERLINK("https://klasma.github.io/Logging_2084/fåglar/A 12997-2022 prioriterade fågelarter.docx", "A 12997-2022")</f>
        <v/>
      </c>
    </row>
    <row r="21" ht="15" customHeight="1">
      <c r="A21" t="inlineStr">
        <is>
          <t>A 25882-2025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46324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HYPERLINK("https://klasma.github.io/Logging_2084/artfynd/A 25882-2025 artfynd.xlsx", "A 25882-2025")</f>
        <v/>
      </c>
      <c r="X21">
        <f>HYPERLINK("https://klasma.github.io/Logging_2084/kartor/A 25882-2025 karta.png", "A 25882-2025")</f>
        <v/>
      </c>
      <c r="Y21">
        <f>HYPERLINK("https://klasma.github.io/Logging_2084/kartor_geotiff/A 25882-2025 georefererad karta.tif", "A 25882-2025")</f>
        <v/>
      </c>
      <c r="AA21">
        <f>HYPERLINK("https://klasma.github.io/Logging_2084/klagomål/A 25882-2025 FSC-klagomål.docx", "A 25882-2025")</f>
        <v/>
      </c>
      <c r="AB21">
        <f>HYPERLINK("https://klasma.github.io/Logging_2084/klagomålsmail/A 25882-2025 FSC-klagomål mail.docx", "A 25882-2025")</f>
        <v/>
      </c>
      <c r="AC21">
        <f>HYPERLINK("https://klasma.github.io/Logging_2084/tillsyn/A 25882-2025 tillsynsbegäran.docx", "A 25882-2025")</f>
        <v/>
      </c>
      <c r="AD21">
        <f>HYPERLINK("https://klasma.github.io/Logging_2084/tillsynsmail/A 25882-2025 tillsynsbegäran mail.docx", "A 25882-2025")</f>
        <v/>
      </c>
      <c r="AE21">
        <f>HYPERLINK("https://klasma.github.io/Logging_2084/fåglar/A 25882-2025 prioriterade fågelarter.docx", "A 25882-2025")</f>
        <v/>
      </c>
    </row>
    <row r="22" ht="15" customHeight="1">
      <c r="A22" t="inlineStr">
        <is>
          <t>A 56571-2023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45243</v>
      </c>
      <c r="E22" s="1" t="n">
        <v>46324</v>
      </c>
      <c r="F22" t="inlineStr">
        <is>
          <t>DALARNAS LÄN</t>
        </is>
      </c>
      <c r="G22" t="inlineStr">
        <is>
          <t>AVESTA</t>
        </is>
      </c>
      <c r="I22" t="n">
        <v>6.1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Gråblå skinnlav</t>
        </is>
      </c>
      <c r="W22">
        <f>HYPERLINK("https://klasma.github.io/Logging_2084/artfynd/A 56571-2023 artfynd.xlsx", "A 56571-2023")</f>
        <v/>
      </c>
      <c r="X22">
        <f>HYPERLINK("https://klasma.github.io/Logging_2084/kartor/A 56571-2023 karta.png", "A 56571-2023")</f>
        <v/>
      </c>
      <c r="Y22">
        <f>HYPERLINK("https://klasma.github.io/Logging_2084/kartor_geotiff/A 56571-2023 georefererad karta.tif", "A 56571-2023")</f>
        <v/>
      </c>
      <c r="AA22">
        <f>HYPERLINK("https://klasma.github.io/Logging_2084/klagomål/A 56571-2023 FSC-klagomål.docx", "A 56571-2023")</f>
        <v/>
      </c>
      <c r="AB22">
        <f>HYPERLINK("https://klasma.github.io/Logging_2084/klagomålsmail/A 56571-2023 FSC-klagomål mail.docx", "A 56571-2023")</f>
        <v/>
      </c>
      <c r="AC22">
        <f>HYPERLINK("https://klasma.github.io/Logging_2084/tillsyn/A 56571-2023 tillsynsbegäran.docx", "A 56571-2023")</f>
        <v/>
      </c>
      <c r="AD22">
        <f>HYPERLINK("https://klasma.github.io/Logging_2084/tillsynsmail/A 56571-2023 tillsynsbegäran mail.docx", "A 56571-2023")</f>
        <v/>
      </c>
    </row>
    <row r="23" ht="15" customHeight="1">
      <c r="A23" t="inlineStr">
        <is>
          <t>A 43508-2024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45569</v>
      </c>
      <c r="E23" s="1" t="n">
        <v>46324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Kungsfågel</t>
        </is>
      </c>
      <c r="W23">
        <f>HYPERLINK("https://klasma.github.io/Logging_2084/artfynd/A 43508-2024 artfynd.xlsx", "A 43508-2024")</f>
        <v/>
      </c>
      <c r="X23">
        <f>HYPERLINK("https://klasma.github.io/Logging_2084/kartor/A 43508-2024 karta.png", "A 43508-2024")</f>
        <v/>
      </c>
      <c r="Y23">
        <f>HYPERLINK("https://klasma.github.io/Logging_2084/kartor_geotiff/A 43508-2024 georefererad karta.tif", "A 43508-2024")</f>
        <v/>
      </c>
      <c r="AA23">
        <f>HYPERLINK("https://klasma.github.io/Logging_2084/klagomål/A 43508-2024 FSC-klagomål.docx", "A 43508-2024")</f>
        <v/>
      </c>
      <c r="AB23">
        <f>HYPERLINK("https://klasma.github.io/Logging_2084/klagomålsmail/A 43508-2024 FSC-klagomål mail.docx", "A 43508-2024")</f>
        <v/>
      </c>
      <c r="AC23">
        <f>HYPERLINK("https://klasma.github.io/Logging_2084/tillsyn/A 43508-2024 tillsynsbegäran.docx", "A 43508-2024")</f>
        <v/>
      </c>
      <c r="AD23">
        <f>HYPERLINK("https://klasma.github.io/Logging_2084/tillsynsmail/A 43508-2024 tillsynsbegäran mail.docx", "A 43508-2024")</f>
        <v/>
      </c>
    </row>
    <row r="24" ht="15" customHeight="1">
      <c r="A24" t="inlineStr">
        <is>
          <t>A 36007-2025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46324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HYPERLINK("https://klasma.github.io/Logging_2084/artfynd/A 36007-2025 artfynd.xlsx", "A 36007-2025")</f>
        <v/>
      </c>
      <c r="X24">
        <f>HYPERLINK("https://klasma.github.io/Logging_2084/kartor/A 36007-2025 karta.png", "A 36007-2025")</f>
        <v/>
      </c>
      <c r="Y24">
        <f>HYPERLINK("https://klasma.github.io/Logging_2084/kartor_geotiff/A 36007-2025 georefererad karta.tif", "A 36007-2025")</f>
        <v/>
      </c>
      <c r="AA24">
        <f>HYPERLINK("https://klasma.github.io/Logging_2084/klagomål/A 36007-2025 FSC-klagomål.docx", "A 36007-2025")</f>
        <v/>
      </c>
      <c r="AB24">
        <f>HYPERLINK("https://klasma.github.io/Logging_2084/klagomålsmail/A 36007-2025 FSC-klagomål mail.docx", "A 36007-2025")</f>
        <v/>
      </c>
      <c r="AC24">
        <f>HYPERLINK("https://klasma.github.io/Logging_2084/tillsyn/A 36007-2025 tillsynsbegäran.docx", "A 36007-2025")</f>
        <v/>
      </c>
      <c r="AD24">
        <f>HYPERLINK("https://klasma.github.io/Logging_2084/tillsynsmail/A 36007-2025 tillsynsbegäran mail.docx", "A 36007-2025")</f>
        <v/>
      </c>
    </row>
    <row r="25" ht="15" customHeight="1">
      <c r="A25" t="inlineStr">
        <is>
          <t>A 36002-2025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46324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HYPERLINK("https://klasma.github.io/Logging_2084/artfynd/A 36002-2025 artfynd.xlsx", "A 36002-2025")</f>
        <v/>
      </c>
      <c r="X25">
        <f>HYPERLINK("https://klasma.github.io/Logging_2084/kartor/A 36002-2025 karta.png", "A 36002-2025")</f>
        <v/>
      </c>
      <c r="Y25">
        <f>HYPERLINK("https://klasma.github.io/Logging_2084/kartor_geotiff/A 36002-2025 georefererad karta.tif", "A 36002-2025")</f>
        <v/>
      </c>
      <c r="AA25">
        <f>HYPERLINK("https://klasma.github.io/Logging_2084/klagomål/A 36002-2025 FSC-klagomål.docx", "A 36002-2025")</f>
        <v/>
      </c>
      <c r="AB25">
        <f>HYPERLINK("https://klasma.github.io/Logging_2084/klagomålsmail/A 36002-2025 FSC-klagomål mail.docx", "A 36002-2025")</f>
        <v/>
      </c>
      <c r="AC25">
        <f>HYPERLINK("https://klasma.github.io/Logging_2084/tillsyn/A 36002-2025 tillsynsbegäran.docx", "A 36002-2025")</f>
        <v/>
      </c>
      <c r="AD25">
        <f>HYPERLINK("https://klasma.github.io/Logging_2084/tillsynsmail/A 36002-2025 tillsynsbegäran mail.docx", "A 36002-2025")</f>
        <v/>
      </c>
    </row>
    <row r="26" ht="15" customHeight="1">
      <c r="A26" t="inlineStr">
        <is>
          <t>A 17913-2025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46324</v>
      </c>
      <c r="F26" t="inlineStr">
        <is>
          <t>DALARNAS LÄN</t>
        </is>
      </c>
      <c r="G26" t="inlineStr">
        <is>
          <t>AVESTA</t>
        </is>
      </c>
      <c r="I26" t="n">
        <v>10.2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7</v>
      </c>
      <c r="U26" t="n">
        <v>7</v>
      </c>
      <c r="V26" s="2" t="inlineStr">
        <is>
          <t>Knärot</t>
        </is>
      </c>
      <c r="W26">
        <f>HYPERLINK("https://klasma.github.io/Logging_2084/artfynd/A 17913-2025 artfynd.xlsx", "A 17913-2025")</f>
        <v/>
      </c>
      <c r="X26">
        <f>HYPERLINK("https://klasma.github.io/Logging_2084/kartor/A 17913-2025 karta.png", "A 17913-2025")</f>
        <v/>
      </c>
      <c r="Y26">
        <f>HYPERLINK("https://klasma.github.io/Logging_2084/kartor_geotiff/A 17913-2025 georefererad karta.tif", "A 17913-2025")</f>
        <v/>
      </c>
      <c r="Z26">
        <f>HYPERLINK("https://klasma.github.io/Logging_2084/knärot/A 17913-2025 karta knärot.png", "A 17913-2025")</f>
        <v/>
      </c>
      <c r="AA26">
        <f>HYPERLINK("https://klasma.github.io/Logging_2084/klagomål/A 17913-2025 FSC-klagomål.docx", "A 17913-2025")</f>
        <v/>
      </c>
      <c r="AB26">
        <f>HYPERLINK("https://klasma.github.io/Logging_2084/klagomålsmail/A 17913-2025 FSC-klagomål mail.docx", "A 17913-2025")</f>
        <v/>
      </c>
      <c r="AC26">
        <f>HYPERLINK("https://klasma.github.io/Logging_2084/tillsyn/A 17913-2025 tillsynsbegäran.docx", "A 17913-2025")</f>
        <v/>
      </c>
      <c r="AD26">
        <f>HYPERLINK("https://klasma.github.io/Logging_2084/tillsynsmail/A 17913-2025 tillsynsbegäran mail.docx", "A 17913-2025")</f>
        <v/>
      </c>
    </row>
    <row r="27" ht="15" customHeight="1">
      <c r="A27" t="inlineStr">
        <is>
          <t>A 13553-2025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46324</v>
      </c>
      <c r="F27" t="inlineStr">
        <is>
          <t>DALARNAS LÄN</t>
        </is>
      </c>
      <c r="G27" t="inlineStr">
        <is>
          <t>AVESTA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HYPERLINK("https://klasma.github.io/Logging_2084/artfynd/A 13553-2025 artfynd.xlsx", "A 13553-2025")</f>
        <v/>
      </c>
      <c r="X27">
        <f>HYPERLINK("https://klasma.github.io/Logging_2084/kartor/A 13553-2025 karta.png", "A 13553-2025")</f>
        <v/>
      </c>
      <c r="Y27">
        <f>HYPERLINK("https://klasma.github.io/Logging_2084/kartor_geotiff/A 13553-2025 georefererad karta.tif", "A 13553-2025")</f>
        <v/>
      </c>
      <c r="AA27">
        <f>HYPERLINK("https://klasma.github.io/Logging_2084/klagomål/A 13553-2025 FSC-klagomål.docx", "A 13553-2025")</f>
        <v/>
      </c>
      <c r="AB27">
        <f>HYPERLINK("https://klasma.github.io/Logging_2084/klagomålsmail/A 13553-2025 FSC-klagomål mail.docx", "A 13553-2025")</f>
        <v/>
      </c>
      <c r="AC27">
        <f>HYPERLINK("https://klasma.github.io/Logging_2084/tillsyn/A 13553-2025 tillsynsbegäran.docx", "A 13553-2025")</f>
        <v/>
      </c>
      <c r="AD27">
        <f>HYPERLINK("https://klasma.github.io/Logging_2084/tillsynsmail/A 13553-2025 tillsynsbegäran mail.docx", "A 13553-2025")</f>
        <v/>
      </c>
    </row>
    <row r="28" ht="15" customHeight="1">
      <c r="A28" t="inlineStr">
        <is>
          <t>A 44853-2023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46324</v>
      </c>
      <c r="F28" t="inlineStr">
        <is>
          <t>DALARNAS LÄN</t>
        </is>
      </c>
      <c r="G28" t="inlineStr">
        <is>
          <t>AVESTA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Knytlingsäckmal</t>
        </is>
      </c>
      <c r="W28">
        <f>HYPERLINK("https://klasma.github.io/Logging_2084/artfynd/A 44853-2023 artfynd.xlsx", "A 44853-2023")</f>
        <v/>
      </c>
      <c r="X28">
        <f>HYPERLINK("https://klasma.github.io/Logging_2084/kartor/A 44853-2023 karta.png", "A 44853-2023")</f>
        <v/>
      </c>
      <c r="Y28">
        <f>HYPERLINK("https://klasma.github.io/Logging_2084/kartor_geotiff/A 44853-2023 georefererad karta.tif", "A 44853-2023")</f>
        <v/>
      </c>
      <c r="AA28">
        <f>HYPERLINK("https://klasma.github.io/Logging_2084/klagomål/A 44853-2023 FSC-klagomål.docx", "A 44853-2023")</f>
        <v/>
      </c>
      <c r="AB28">
        <f>HYPERLINK("https://klasma.github.io/Logging_2084/klagomålsmail/A 44853-2023 FSC-klagomål mail.docx", "A 44853-2023")</f>
        <v/>
      </c>
      <c r="AC28">
        <f>HYPERLINK("https://klasma.github.io/Logging_2084/tillsyn/A 44853-2023 tillsynsbegäran.docx", "A 44853-2023")</f>
        <v/>
      </c>
      <c r="AD28">
        <f>HYPERLINK("https://klasma.github.io/Logging_2084/tillsynsmail/A 44853-2023 tillsynsbegäran mail.docx", "A 44853-2023")</f>
        <v/>
      </c>
    </row>
    <row r="29" ht="15" customHeight="1">
      <c r="A29" t="inlineStr">
        <is>
          <t>A 39253-2025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46324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3</v>
      </c>
      <c r="U29" t="n">
        <v>0</v>
      </c>
      <c r="V29" s="2" t="inlineStr">
        <is>
          <t>Nordfladdermus</t>
        </is>
      </c>
      <c r="W29">
        <f>HYPERLINK("https://klasma.github.io/Logging_2084/artfynd/A 39253-2025 artfynd.xlsx", "A 39253-2025")</f>
        <v/>
      </c>
      <c r="X29">
        <f>HYPERLINK("https://klasma.github.io/Logging_2084/kartor/A 39253-2025 karta.png", "A 39253-2025")</f>
        <v/>
      </c>
      <c r="Y29">
        <f>HYPERLINK("https://klasma.github.io/Logging_2084/kartor_geotiff/A 39253-2025 georefererad karta.tif", "A 39253-2025")</f>
        <v/>
      </c>
      <c r="AA29">
        <f>HYPERLINK("https://klasma.github.io/Logging_2084/klagomål/A 39253-2025 FSC-klagomål.docx", "A 39253-2025")</f>
        <v/>
      </c>
      <c r="AB29">
        <f>HYPERLINK("https://klasma.github.io/Logging_2084/klagomålsmail/A 39253-2025 FSC-klagomål mail.docx", "A 39253-2025")</f>
        <v/>
      </c>
      <c r="AC29">
        <f>HYPERLINK("https://klasma.github.io/Logging_2084/tillsyn/A 39253-2025 tillsynsbegäran.docx", "A 39253-2025")</f>
        <v/>
      </c>
      <c r="AD29">
        <f>HYPERLINK("https://klasma.github.io/Logging_2084/tillsynsmail/A 39253-2025 tillsynsbegäran mail.docx", "A 39253-2025")</f>
        <v/>
      </c>
    </row>
    <row r="30" ht="15" customHeight="1">
      <c r="A30" t="inlineStr">
        <is>
          <t>A 21412-2023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45058</v>
      </c>
      <c r="E30" s="1" t="n">
        <v>46324</v>
      </c>
      <c r="F30" t="inlineStr">
        <is>
          <t>DALARNAS LÄN</t>
        </is>
      </c>
      <c r="G30" t="inlineStr">
        <is>
          <t>AVESTA</t>
        </is>
      </c>
      <c r="H30" t="inlineStr">
        <is>
          <t>Bergvik skog väst AB</t>
        </is>
      </c>
      <c r="I30" t="n">
        <v>3.4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Nattviol</t>
        </is>
      </c>
      <c r="W30">
        <f>HYPERLINK("https://klasma.github.io/Logging_2084/artfynd/A 21412-2023 artfynd.xlsx", "A 21412-2023")</f>
        <v/>
      </c>
      <c r="X30">
        <f>HYPERLINK("https://klasma.github.io/Logging_2084/kartor/A 21412-2023 karta.png", "A 21412-2023")</f>
        <v/>
      </c>
      <c r="Y30">
        <f>HYPERLINK("https://klasma.github.io/Logging_2084/kartor_geotiff/A 21412-2023 georefererad karta.tif", "A 21412-2023")</f>
        <v/>
      </c>
      <c r="AA30">
        <f>HYPERLINK("https://klasma.github.io/Logging_2084/klagomål/A 21412-2023 FSC-klagomål.docx", "A 21412-2023")</f>
        <v/>
      </c>
      <c r="AB30">
        <f>HYPERLINK("https://klasma.github.io/Logging_2084/klagomålsmail/A 21412-2023 FSC-klagomål mail.docx", "A 21412-2023")</f>
        <v/>
      </c>
      <c r="AC30">
        <f>HYPERLINK("https://klasma.github.io/Logging_2084/tillsyn/A 21412-2023 tillsynsbegäran.docx", "A 21412-2023")</f>
        <v/>
      </c>
      <c r="AD30">
        <f>HYPERLINK("https://klasma.github.io/Logging_2084/tillsynsmail/A 21412-2023 tillsynsbegäran mail.docx", "A 21412-2023")</f>
        <v/>
      </c>
    </row>
    <row r="31" ht="15" customHeight="1">
      <c r="A31" t="inlineStr">
        <is>
          <t>A 53814-2025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45961</v>
      </c>
      <c r="E31" s="1" t="n">
        <v>46324</v>
      </c>
      <c r="F31" t="inlineStr">
        <is>
          <t>DALARNAS LÄN</t>
        </is>
      </c>
      <c r="G31" t="inlineStr">
        <is>
          <t>AVESTA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53814-2025 artfynd.xlsx", "A 53814-2025")</f>
        <v/>
      </c>
      <c r="X31">
        <f>HYPERLINK("https://klasma.github.io/Logging_2084/kartor/A 53814-2025 karta.png", "A 53814-2025")</f>
        <v/>
      </c>
      <c r="Y31">
        <f>HYPERLINK("https://klasma.github.io/Logging_2084/kartor_geotiff/A 53814-2025 georefererad karta.tif", "A 53814-2025")</f>
        <v/>
      </c>
      <c r="AA31">
        <f>HYPERLINK("https://klasma.github.io/Logging_2084/klagomål/A 53814-2025 FSC-klagomål.docx", "A 53814-2025")</f>
        <v/>
      </c>
      <c r="AB31">
        <f>HYPERLINK("https://klasma.github.io/Logging_2084/klagomålsmail/A 53814-2025 FSC-klagomål mail.docx", "A 53814-2025")</f>
        <v/>
      </c>
      <c r="AC31">
        <f>HYPERLINK("https://klasma.github.io/Logging_2084/tillsyn/A 53814-2025 tillsynsbegäran.docx", "A 53814-2025")</f>
        <v/>
      </c>
      <c r="AD31">
        <f>HYPERLINK("https://klasma.github.io/Logging_2084/tillsynsmail/A 53814-2025 tillsynsbegäran mail.docx", "A 53814-2025")</f>
        <v/>
      </c>
    </row>
    <row r="32" ht="15" customHeight="1">
      <c r="A32" t="inlineStr">
        <is>
          <t>A 26787-2026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46183</v>
      </c>
      <c r="E32" s="1" t="n">
        <v>46324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HYPERLINK("https://klasma.github.io/Logging_2084/artfynd/A 26787-2026 artfynd.xlsx", "A 26787-2026")</f>
        <v/>
      </c>
      <c r="X32">
        <f>HYPERLINK("https://klasma.github.io/Logging_2084/kartor/A 26787-2026 karta.png", "A 26787-2026")</f>
        <v/>
      </c>
      <c r="Y32">
        <f>HYPERLINK("https://klasma.github.io/Logging_2084/kartor_geotiff/A 26787-2026 georefererad karta.tif", "A 26787-2026")</f>
        <v/>
      </c>
      <c r="AA32">
        <f>HYPERLINK("https://klasma.github.io/Logging_2084/klagomål/A 26787-2026 FSC-klagomål.docx", "A 26787-2026")</f>
        <v/>
      </c>
      <c r="AB32">
        <f>HYPERLINK("https://klasma.github.io/Logging_2084/klagomålsmail/A 26787-2026 FSC-klagomål mail.docx", "A 26787-2026")</f>
        <v/>
      </c>
      <c r="AC32">
        <f>HYPERLINK("https://klasma.github.io/Logging_2084/tillsyn/A 26787-2026 tillsynsbegäran.docx", "A 26787-2026")</f>
        <v/>
      </c>
      <c r="AD32">
        <f>HYPERLINK("https://klasma.github.io/Logging_2084/tillsynsmail/A 26787-2026 tillsynsbegäran mail.docx", "A 26787-2026")</f>
        <v/>
      </c>
    </row>
    <row r="33" ht="15" customHeight="1">
      <c r="A33" t="inlineStr">
        <is>
          <t>A 56786-2024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45628</v>
      </c>
      <c r="E33" s="1" t="n">
        <v>46324</v>
      </c>
      <c r="F33" t="inlineStr">
        <is>
          <t>DALARNAS LÄN</t>
        </is>
      </c>
      <c r="G33" t="inlineStr">
        <is>
          <t>AVESTA</t>
        </is>
      </c>
      <c r="I33" t="n">
        <v>4.7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Knärot</t>
        </is>
      </c>
      <c r="W33">
        <f>HYPERLINK("https://klasma.github.io/Logging_2084/artfynd/A 56786-2024 artfynd.xlsx", "A 56786-2024")</f>
        <v/>
      </c>
      <c r="X33">
        <f>HYPERLINK("https://klasma.github.io/Logging_2084/kartor/A 56786-2024 karta.png", "A 56786-2024")</f>
        <v/>
      </c>
      <c r="Y33">
        <f>HYPERLINK("https://klasma.github.io/Logging_2084/kartor_geotiff/A 56786-2024 georefererad karta.tif", "A 56786-2024")</f>
        <v/>
      </c>
      <c r="Z33">
        <f>HYPERLINK("https://klasma.github.io/Logging_2084/knärot/A 56786-2024 karta knärot.png", "A 56786-2024")</f>
        <v/>
      </c>
      <c r="AA33">
        <f>HYPERLINK("https://klasma.github.io/Logging_2084/klagomål/A 56786-2024 FSC-klagomål.docx", "A 56786-2024")</f>
        <v/>
      </c>
      <c r="AB33">
        <f>HYPERLINK("https://klasma.github.io/Logging_2084/klagomålsmail/A 56786-2024 FSC-klagomål mail.docx", "A 56786-2024")</f>
        <v/>
      </c>
      <c r="AC33">
        <f>HYPERLINK("https://klasma.github.io/Logging_2084/tillsyn/A 56786-2024 tillsynsbegäran.docx", "A 56786-2024")</f>
        <v/>
      </c>
      <c r="AD33">
        <f>HYPERLINK("https://klasma.github.io/Logging_2084/tillsynsmail/A 56786-2024 tillsynsbegäran mail.docx", "A 56786-2024")</f>
        <v/>
      </c>
    </row>
    <row r="34" ht="15" customHeight="1">
      <c r="A34" t="inlineStr">
        <is>
          <t>A 60446-2025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45995</v>
      </c>
      <c r="E34" s="1" t="n">
        <v>46324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HYPERLINK("https://klasma.github.io/Logging_2084/artfynd/A 60446-2025 artfynd.xlsx", "A 60446-2025")</f>
        <v/>
      </c>
      <c r="X34">
        <f>HYPERLINK("https://klasma.github.io/Logging_2084/kartor/A 60446-2025 karta.png", "A 60446-2025")</f>
        <v/>
      </c>
      <c r="Y34">
        <f>HYPERLINK("https://klasma.github.io/Logging_2084/kartor_geotiff/A 60446-2025 georefererad karta.tif", "A 60446-2025")</f>
        <v/>
      </c>
      <c r="AA34">
        <f>HYPERLINK("https://klasma.github.io/Logging_2084/klagomål/A 60446-2025 FSC-klagomål.docx", "A 60446-2025")</f>
        <v/>
      </c>
      <c r="AB34">
        <f>HYPERLINK("https://klasma.github.io/Logging_2084/klagomålsmail/A 60446-2025 FSC-klagomål mail.docx", "A 60446-2025")</f>
        <v/>
      </c>
      <c r="AC34">
        <f>HYPERLINK("https://klasma.github.io/Logging_2084/tillsyn/A 60446-2025 tillsynsbegäran.docx", "A 60446-2025")</f>
        <v/>
      </c>
      <c r="AD34">
        <f>HYPERLINK("https://klasma.github.io/Logging_2084/tillsynsmail/A 60446-2025 tillsynsbegäran mail.docx", "A 60446-2025")</f>
        <v/>
      </c>
    </row>
    <row r="35" ht="15" customHeight="1">
      <c r="A35" t="inlineStr">
        <is>
          <t>A 1695-2022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44574</v>
      </c>
      <c r="E35" s="1" t="n">
        <v>46324</v>
      </c>
      <c r="F35" t="inlineStr">
        <is>
          <t>DALARNAS LÄN</t>
        </is>
      </c>
      <c r="G35" t="inlineStr">
        <is>
          <t>AVESTA</t>
        </is>
      </c>
      <c r="I35" t="n">
        <v>6.5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27</v>
      </c>
      <c r="U35" t="n">
        <v>27</v>
      </c>
      <c r="V35" s="2" t="inlineStr">
        <is>
          <t>Knärot</t>
        </is>
      </c>
      <c r="W35">
        <f>HYPERLINK("https://klasma.github.io/Logging_2084/artfynd/A 1695-2022 artfynd.xlsx", "A 1695-2022")</f>
        <v/>
      </c>
      <c r="X35">
        <f>HYPERLINK("https://klasma.github.io/Logging_2084/kartor/A 1695-2022 karta.png", "A 1695-2022")</f>
        <v/>
      </c>
      <c r="Y35">
        <f>HYPERLINK("https://klasma.github.io/Logging_2084/kartor_geotiff/A 1695-2022 georefererad karta.tif", "A 1695-2022")</f>
        <v/>
      </c>
      <c r="Z35">
        <f>HYPERLINK("https://klasma.github.io/Logging_2084/knärot/A 1695-2022 karta knärot.png", "A 1695-2022")</f>
        <v/>
      </c>
      <c r="AA35">
        <f>HYPERLINK("https://klasma.github.io/Logging_2084/klagomål/A 1695-2022 FSC-klagomål.docx", "A 1695-2022")</f>
        <v/>
      </c>
      <c r="AB35">
        <f>HYPERLINK("https://klasma.github.io/Logging_2084/klagomålsmail/A 1695-2022 FSC-klagomål mail.docx", "A 1695-2022")</f>
        <v/>
      </c>
      <c r="AC35">
        <f>HYPERLINK("https://klasma.github.io/Logging_2084/tillsyn/A 1695-2022 tillsynsbegäran.docx", "A 1695-2022")</f>
        <v/>
      </c>
      <c r="AD35">
        <f>HYPERLINK("https://klasma.github.io/Logging_2084/tillsynsmail/A 1695-2022 tillsynsbegäran mail.docx", "A 1695-2022")</f>
        <v/>
      </c>
    </row>
    <row r="36" ht="15" customHeight="1">
      <c r="A36" t="inlineStr">
        <is>
          <t>A 15987-2026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46108</v>
      </c>
      <c r="E36" s="1" t="n">
        <v>46324</v>
      </c>
      <c r="F36" t="inlineStr">
        <is>
          <t>DALARNAS LÄN</t>
        </is>
      </c>
      <c r="G36" t="inlineStr">
        <is>
          <t>AVESTA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Lopplummer (aggregat)</t>
        </is>
      </c>
      <c r="W36">
        <f>HYPERLINK("https://klasma.github.io/Logging_2084/artfynd/A 15987-2026 artfynd.xlsx", "A 15987-2026")</f>
        <v/>
      </c>
      <c r="X36">
        <f>HYPERLINK("https://klasma.github.io/Logging_2084/kartor/A 15987-2026 karta.png", "A 15987-2026")</f>
        <v/>
      </c>
      <c r="Y36">
        <f>HYPERLINK("https://klasma.github.io/Logging_2084/kartor_geotiff/A 15987-2026 georefererad karta.tif", "A 15987-2026")</f>
        <v/>
      </c>
      <c r="AA36">
        <f>HYPERLINK("https://klasma.github.io/Logging_2084/klagomål/A 15987-2026 FSC-klagomål.docx", "A 15987-2026")</f>
        <v/>
      </c>
      <c r="AB36">
        <f>HYPERLINK("https://klasma.github.io/Logging_2084/klagomålsmail/A 15987-2026 FSC-klagomål mail.docx", "A 15987-2026")</f>
        <v/>
      </c>
      <c r="AC36">
        <f>HYPERLINK("https://klasma.github.io/Logging_2084/tillsyn/A 15987-2026 tillsynsbegäran.docx", "A 15987-2026")</f>
        <v/>
      </c>
      <c r="AD36">
        <f>HYPERLINK("https://klasma.github.io/Logging_2084/tillsynsmail/A 15987-2026 tillsynsbegäran mail.docx", "A 15987-2026")</f>
        <v/>
      </c>
    </row>
    <row r="37" ht="15" customHeight="1">
      <c r="A37" t="inlineStr">
        <is>
          <t>A 32516-2026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46239</v>
      </c>
      <c r="E37" s="1" t="n">
        <v>46324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8.4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Nordfladdermus</t>
        </is>
      </c>
      <c r="W37">
        <f>HYPERLINK("https://klasma.github.io/Logging_2084/artfynd/A 32516-2026 artfynd.xlsx", "A 32516-2026")</f>
        <v/>
      </c>
      <c r="X37">
        <f>HYPERLINK("https://klasma.github.io/Logging_2084/kartor/A 32516-2026 karta.png", "A 32516-2026")</f>
        <v/>
      </c>
      <c r="Y37">
        <f>HYPERLINK("https://klasma.github.io/Logging_2084/kartor_geotiff/A 32516-2026 georefererad karta.tif", "A 32516-2026")</f>
        <v/>
      </c>
      <c r="AA37">
        <f>HYPERLINK("https://klasma.github.io/Logging_2084/klagomål/A 32516-2026 FSC-klagomål.docx", "A 32516-2026")</f>
        <v/>
      </c>
      <c r="AB37">
        <f>HYPERLINK("https://klasma.github.io/Logging_2084/klagomålsmail/A 32516-2026 FSC-klagomål mail.docx", "A 32516-2026")</f>
        <v/>
      </c>
      <c r="AC37">
        <f>HYPERLINK("https://klasma.github.io/Logging_2084/tillsyn/A 32516-2026 tillsynsbegäran.docx", "A 32516-2026")</f>
        <v/>
      </c>
      <c r="AD37">
        <f>HYPERLINK("https://klasma.github.io/Logging_2084/tillsynsmail/A 32516-2026 tillsynsbegäran mail.docx", "A 32516-2026")</f>
        <v/>
      </c>
    </row>
    <row r="38" ht="15" customHeight="1">
      <c r="A38" t="inlineStr">
        <is>
          <t>A 32927-2026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46324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HYPERLINK("https://klasma.github.io/Logging_2084/artfynd/A 32927-2026 artfynd.xlsx", "A 32927-2026")</f>
        <v/>
      </c>
      <c r="X38">
        <f>HYPERLINK("https://klasma.github.io/Logging_2084/kartor/A 32927-2026 karta.png", "A 32927-2026")</f>
        <v/>
      </c>
      <c r="Y38">
        <f>HYPERLINK("https://klasma.github.io/Logging_2084/kartor_geotiff/A 32927-2026 georefererad karta.tif", "A 32927-2026")</f>
        <v/>
      </c>
      <c r="AA38">
        <f>HYPERLINK("https://klasma.github.io/Logging_2084/klagomål/A 32927-2026 FSC-klagomål.docx", "A 32927-2026")</f>
        <v/>
      </c>
      <c r="AB38">
        <f>HYPERLINK("https://klasma.github.io/Logging_2084/klagomålsmail/A 32927-2026 FSC-klagomål mail.docx", "A 32927-2026")</f>
        <v/>
      </c>
      <c r="AC38">
        <f>HYPERLINK("https://klasma.github.io/Logging_2084/tillsyn/A 32927-2026 tillsynsbegäran.docx", "A 32927-2026")</f>
        <v/>
      </c>
      <c r="AD38">
        <f>HYPERLINK("https://klasma.github.io/Logging_2084/tillsynsmail/A 32927-2026 tillsynsbegäran mail.docx", "A 32927-2026")</f>
        <v/>
      </c>
    </row>
    <row r="39" ht="15" customHeight="1">
      <c r="A39" t="inlineStr">
        <is>
          <t>A 1993-2026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46035</v>
      </c>
      <c r="E39" s="1" t="n">
        <v>46324</v>
      </c>
      <c r="F39" t="inlineStr">
        <is>
          <t>DALARNAS LÄN</t>
        </is>
      </c>
      <c r="G39" t="inlineStr">
        <is>
          <t>AVESTA</t>
        </is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HYPERLINK("https://klasma.github.io/Logging_2084/artfynd/A 1993-2026 artfynd.xlsx", "A 1993-2026")</f>
        <v/>
      </c>
      <c r="X39">
        <f>HYPERLINK("https://klasma.github.io/Logging_2084/kartor/A 1993-2026 karta.png", "A 1993-2026")</f>
        <v/>
      </c>
      <c r="Y39">
        <f>HYPERLINK("https://klasma.github.io/Logging_2084/kartor_geotiff/A 1993-2026 georefererad karta.tif", "A 1993-2026")</f>
        <v/>
      </c>
      <c r="AA39">
        <f>HYPERLINK("https://klasma.github.io/Logging_2084/klagomål/A 1993-2026 FSC-klagomål.docx", "A 1993-2026")</f>
        <v/>
      </c>
      <c r="AB39">
        <f>HYPERLINK("https://klasma.github.io/Logging_2084/klagomålsmail/A 1993-2026 FSC-klagomål mail.docx", "A 1993-2026")</f>
        <v/>
      </c>
      <c r="AC39">
        <f>HYPERLINK("https://klasma.github.io/Logging_2084/tillsyn/A 1993-2026 tillsynsbegäran.docx", "A 1993-2026")</f>
        <v/>
      </c>
      <c r="AD39">
        <f>HYPERLINK("https://klasma.github.io/Logging_2084/tillsynsmail/A 1993-2026 tillsynsbegäran mail.docx", "A 1993-2026")</f>
        <v/>
      </c>
    </row>
    <row r="40" ht="15" customHeight="1">
      <c r="A40" t="inlineStr">
        <is>
          <t>A 10943-2024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45370</v>
      </c>
      <c r="E40" s="1" t="n">
        <v>46324</v>
      </c>
      <c r="F40" t="inlineStr">
        <is>
          <t>DALARNAS LÄN</t>
        </is>
      </c>
      <c r="G40" t="inlineStr">
        <is>
          <t>AVESTA</t>
        </is>
      </c>
      <c r="I40" t="n">
        <v>8.5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Havsörn</t>
        </is>
      </c>
      <c r="W40">
        <f>HYPERLINK("https://klasma.github.io/Logging_2084/artfynd/A 10943-2024 artfynd.xlsx", "A 10943-2024")</f>
        <v/>
      </c>
      <c r="X40">
        <f>HYPERLINK("https://klasma.github.io/Logging_2084/kartor/A 10943-2024 karta.png", "A 10943-2024")</f>
        <v/>
      </c>
      <c r="Y40">
        <f>HYPERLINK("https://klasma.github.io/Logging_2084/kartor_geotiff/A 10943-2024 georefererad karta.tif", "A 10943-2024")</f>
        <v/>
      </c>
      <c r="AA40">
        <f>HYPERLINK("https://klasma.github.io/Logging_2084/klagomål/A 10943-2024 FSC-klagomål.docx", "A 10943-2024")</f>
        <v/>
      </c>
      <c r="AB40">
        <f>HYPERLINK("https://klasma.github.io/Logging_2084/klagomålsmail/A 10943-2024 FSC-klagomål mail.docx", "A 10943-2024")</f>
        <v/>
      </c>
      <c r="AC40">
        <f>HYPERLINK("https://klasma.github.io/Logging_2084/tillsyn/A 10943-2024 tillsynsbegäran.docx", "A 10943-2024")</f>
        <v/>
      </c>
      <c r="AD40">
        <f>HYPERLINK("https://klasma.github.io/Logging_2084/tillsynsmail/A 10943-2024 tillsynsbegäran mail.docx", "A 10943-2024")</f>
        <v/>
      </c>
      <c r="AE40">
        <f>HYPERLINK("https://klasma.github.io/Logging_2084/fåglar/A 10943-2024 prioriterade fågelarter.docx", "A 10943-2024")</f>
        <v/>
      </c>
    </row>
    <row r="41" ht="15" customHeight="1">
      <c r="A41" t="inlineStr">
        <is>
          <t>S 709-2025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45720</v>
      </c>
      <c r="E41" s="1" t="n">
        <v>46324</v>
      </c>
      <c r="F41" t="inlineStr">
        <is>
          <t>DALARNAS LÄN</t>
        </is>
      </c>
      <c r="G41" t="inlineStr">
        <is>
          <t>AVESTA</t>
        </is>
      </c>
      <c r="H41" t="inlineStr">
        <is>
          <t>Bergvik skog väst AB</t>
        </is>
      </c>
      <c r="I41" t="n">
        <v>136.3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Vedskivlav</t>
        </is>
      </c>
      <c r="W41">
        <f>HYPERLINK("https://klasma.github.io/Logging_2084/artfynd/S 709-2025 artfynd.xlsx", "S 709-2025")</f>
        <v/>
      </c>
      <c r="X41">
        <f>HYPERLINK("https://klasma.github.io/Logging_2084/kartor/S 709-2025 karta.png", "S 709-2025")</f>
        <v/>
      </c>
      <c r="Y41">
        <f>HYPERLINK("https://klasma.github.io/Logging_2084/kartor_geotiff/S 709-2025 georefererad karta.tif", "S 709-2025")</f>
        <v/>
      </c>
      <c r="AA41">
        <f>HYPERLINK("https://klasma.github.io/Logging_2084/klagomål/S 709-2025 FSC-klagomål.docx", "S 709-2025")</f>
        <v/>
      </c>
      <c r="AB41">
        <f>HYPERLINK("https://klasma.github.io/Logging_2084/klagomålsmail/S 709-2025 FSC-klagomål mail.docx", "S 709-2025")</f>
        <v/>
      </c>
      <c r="AC41">
        <f>HYPERLINK("https://klasma.github.io/Logging_2084/tillsyn/S 709-2025 tillsynsbegäran.docx", "S 709-2025")</f>
        <v/>
      </c>
      <c r="AD41">
        <f>HYPERLINK("https://klasma.github.io/Logging_2084/tillsynsmail/S 709-2025 tillsynsbegäran mail.docx", "S 709-2025")</f>
        <v/>
      </c>
    </row>
    <row r="42" ht="15" customHeight="1">
      <c r="A42" t="inlineStr">
        <is>
          <t>S 2942-2025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45952</v>
      </c>
      <c r="E42" s="1" t="n">
        <v>46324</v>
      </c>
      <c r="F42" t="inlineStr">
        <is>
          <t>DALARNAS LÄN</t>
        </is>
      </c>
      <c r="G42" t="inlineStr">
        <is>
          <t>AVESTA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HYPERLINK("https://klasma.github.io/Logging_2084/artfynd/S 2942-2025 artfynd.xlsx", "S 2942-2025")</f>
        <v/>
      </c>
      <c r="X42">
        <f>HYPERLINK("https://klasma.github.io/Logging_2084/kartor/S 2942-2025 karta.png", "S 2942-2025")</f>
        <v/>
      </c>
      <c r="Y42">
        <f>HYPERLINK("https://klasma.github.io/Logging_2084/kartor_geotiff/S 2942-2025 georefererad karta.tif", "S 2942-2025")</f>
        <v/>
      </c>
      <c r="AA42">
        <f>HYPERLINK("https://klasma.github.io/Logging_2084/klagomål/S 2942-2025 FSC-klagomål.docx", "S 2942-2025")</f>
        <v/>
      </c>
      <c r="AB42">
        <f>HYPERLINK("https://klasma.github.io/Logging_2084/klagomålsmail/S 2942-2025 FSC-klagomål mail.docx", "S 2942-2025")</f>
        <v/>
      </c>
      <c r="AC42">
        <f>HYPERLINK("https://klasma.github.io/Logging_2084/tillsyn/S 2942-2025 tillsynsbegäran.docx", "S 2942-2025")</f>
        <v/>
      </c>
      <c r="AD42">
        <f>HYPERLINK("https://klasma.github.io/Logging_2084/tillsynsmail/S 2942-2025 tillsynsbegäran mail.docx", "S 2942-2025")</f>
        <v/>
      </c>
      <c r="AE42">
        <f>HYPERLINK("https://klasma.github.io/Logging_2084/fåglar/S 2942-2025 prioriterade fågelarter.docx", "S 2942-2025")</f>
        <v/>
      </c>
    </row>
    <row r="43" ht="15" customHeight="1">
      <c r="A43" t="inlineStr">
        <is>
          <t>S 3402-2025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45995</v>
      </c>
      <c r="E43" s="1" t="n">
        <v>46324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HYPERLINK("https://klasma.github.io/Logging_2084/artfynd/S 3402-2025 artfynd.xlsx", "S 3402-2025")</f>
        <v/>
      </c>
      <c r="X43">
        <f>HYPERLINK("https://klasma.github.io/Logging_2084/kartor/S 3402-2025 karta.png", "S 3402-2025")</f>
        <v/>
      </c>
      <c r="Y43">
        <f>HYPERLINK("https://klasma.github.io/Logging_2084/kartor_geotiff/S 3402-2025 georefererad karta.tif", "S 3402-2025")</f>
        <v/>
      </c>
      <c r="AA43">
        <f>HYPERLINK("https://klasma.github.io/Logging_2084/klagomål/S 3402-2025 FSC-klagomål.docx", "S 3402-2025")</f>
        <v/>
      </c>
      <c r="AB43">
        <f>HYPERLINK("https://klasma.github.io/Logging_2084/klagomålsmail/S 3402-2025 FSC-klagomål mail.docx", "S 3402-2025")</f>
        <v/>
      </c>
      <c r="AC43">
        <f>HYPERLINK("https://klasma.github.io/Logging_2084/tillsyn/S 3402-2025 tillsynsbegäran.docx", "S 3402-2025")</f>
        <v/>
      </c>
      <c r="AD43">
        <f>HYPERLINK("https://klasma.github.io/Logging_2084/tillsynsmail/S 3402-2025 tillsynsbegäran mail.docx", "S 3402-2025")</f>
        <v/>
      </c>
    </row>
    <row r="44" ht="15" customHeight="1">
      <c r="A44" t="inlineStr">
        <is>
          <t>S 281-2026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46056</v>
      </c>
      <c r="E44" s="1" t="n">
        <v>46324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24.4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Nordfladdermus</t>
        </is>
      </c>
      <c r="W44">
        <f>HYPERLINK("https://klasma.github.io/Logging_2084/artfynd/S 281-2026 artfynd.xlsx", "S 281-2026")</f>
        <v/>
      </c>
      <c r="X44">
        <f>HYPERLINK("https://klasma.github.io/Logging_2084/kartor/S 281-2026 karta.png", "S 281-2026")</f>
        <v/>
      </c>
      <c r="Y44">
        <f>HYPERLINK("https://klasma.github.io/Logging_2084/kartor_geotiff/S 281-2026 georefererad karta.tif", "S 281-2026")</f>
        <v/>
      </c>
      <c r="AA44">
        <f>HYPERLINK("https://klasma.github.io/Logging_2084/klagomål/S 281-2026 FSC-klagomål.docx", "S 281-2026")</f>
        <v/>
      </c>
      <c r="AB44">
        <f>HYPERLINK("https://klasma.github.io/Logging_2084/klagomålsmail/S 281-2026 FSC-klagomål mail.docx", "S 281-2026")</f>
        <v/>
      </c>
      <c r="AC44">
        <f>HYPERLINK("https://klasma.github.io/Logging_2084/tillsyn/S 281-2026 tillsynsbegäran.docx", "S 281-2026")</f>
        <v/>
      </c>
      <c r="AD44">
        <f>HYPERLINK("https://klasma.github.io/Logging_2084/tillsynsmail/S 281-2026 tillsynsbegäran mail.docx", "S 281-2026")</f>
        <v/>
      </c>
    </row>
    <row r="45" ht="15" customHeight="1">
      <c r="A45" t="inlineStr">
        <is>
          <t>A 23976-2022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44722</v>
      </c>
      <c r="E45" s="1" t="n">
        <v>46324</v>
      </c>
      <c r="F45" t="inlineStr">
        <is>
          <t>DALARNAS LÄN</t>
        </is>
      </c>
      <c r="G45" t="inlineStr">
        <is>
          <t>AVESTA</t>
        </is>
      </c>
      <c r="H45" t="inlineStr">
        <is>
          <t>Sveaskog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12994-2022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44643</v>
      </c>
      <c r="E46" s="1" t="n">
        <v>46324</v>
      </c>
      <c r="F46" t="inlineStr">
        <is>
          <t>DALARNAS LÄN</t>
        </is>
      </c>
      <c r="G46" t="inlineStr">
        <is>
          <t>AVESTA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42591-2022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46324</v>
      </c>
      <c r="F47" t="inlineStr">
        <is>
          <t>DALARNAS LÄN</t>
        </is>
      </c>
      <c r="G47" t="inlineStr">
        <is>
          <t>AVESTA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44747</v>
      </c>
      <c r="E48" s="1" t="n">
        <v>46324</v>
      </c>
      <c r="F48" t="inlineStr">
        <is>
          <t>DALARNAS LÄN</t>
        </is>
      </c>
      <c r="G48" t="inlineStr">
        <is>
          <t>AVESTA</t>
        </is>
      </c>
      <c r="I48" t="n">
        <v>9.4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65738-2021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46324</v>
      </c>
      <c r="F49" t="inlineStr">
        <is>
          <t>DALARNAS LÄN</t>
        </is>
      </c>
      <c r="G49" t="inlineStr">
        <is>
          <t>AVESTA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46324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44575</v>
      </c>
      <c r="E51" s="1" t="n">
        <v>46324</v>
      </c>
      <c r="F51" t="inlineStr">
        <is>
          <t>DALARNAS LÄN</t>
        </is>
      </c>
      <c r="G51" t="inlineStr">
        <is>
          <t>AVESTA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44839</v>
      </c>
      <c r="E52" s="1" t="n">
        <v>46324</v>
      </c>
      <c r="F52" t="inlineStr">
        <is>
          <t>DALARNAS LÄN</t>
        </is>
      </c>
      <c r="G52" t="inlineStr">
        <is>
          <t>AVESTA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64768-2021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46324</v>
      </c>
      <c r="F53" t="inlineStr">
        <is>
          <t>DALARNAS LÄN</t>
        </is>
      </c>
      <c r="G53" t="inlineStr">
        <is>
          <t>AVESTA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28403-2022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44747</v>
      </c>
      <c r="E54" s="1" t="n">
        <v>46324</v>
      </c>
      <c r="F54" t="inlineStr">
        <is>
          <t>DALARNAS LÄN</t>
        </is>
      </c>
      <c r="G54" t="inlineStr">
        <is>
          <t>AVESTA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10078-2025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46324</v>
      </c>
      <c r="F55" t="inlineStr">
        <is>
          <t>DALARNAS LÄN</t>
        </is>
      </c>
      <c r="G55" t="inlineStr">
        <is>
          <t>AVESTA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23308-2024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45453</v>
      </c>
      <c r="E56" s="1" t="n">
        <v>46324</v>
      </c>
      <c r="F56" t="inlineStr">
        <is>
          <t>DALARNAS LÄN</t>
        </is>
      </c>
      <c r="G56" t="inlineStr">
        <is>
          <t>AVESTA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6262-2023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44963</v>
      </c>
      <c r="E57" s="1" t="n">
        <v>46324</v>
      </c>
      <c r="F57" t="inlineStr">
        <is>
          <t>DALARNAS LÄN</t>
        </is>
      </c>
      <c r="G57" t="inlineStr">
        <is>
          <t>AVESTA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30862-2024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45497</v>
      </c>
      <c r="E58" s="1" t="n">
        <v>46324</v>
      </c>
      <c r="F58" t="inlineStr">
        <is>
          <t>DALARNAS LÄN</t>
        </is>
      </c>
      <c r="G58" t="inlineStr">
        <is>
          <t>AVESTA</t>
        </is>
      </c>
      <c r="H58" t="inlineStr">
        <is>
          <t>Sveaskog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45694</v>
      </c>
      <c r="E59" s="1" t="n">
        <v>46324</v>
      </c>
      <c r="F59" t="inlineStr">
        <is>
          <t>DALARNAS LÄN</t>
        </is>
      </c>
      <c r="G59" t="inlineStr">
        <is>
          <t>AVESTA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44998</v>
      </c>
      <c r="E60" s="1" t="n">
        <v>46324</v>
      </c>
      <c r="F60" t="inlineStr">
        <is>
          <t>DALARNAS LÄN</t>
        </is>
      </c>
      <c r="G60" t="inlineStr">
        <is>
          <t>AVESTA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24147-2025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46324</v>
      </c>
      <c r="F61" t="inlineStr">
        <is>
          <t>DALARNAS LÄN</t>
        </is>
      </c>
      <c r="G61" t="inlineStr">
        <is>
          <t>AVESTA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45734</v>
      </c>
      <c r="E62" s="1" t="n">
        <v>46324</v>
      </c>
      <c r="F62" t="inlineStr">
        <is>
          <t>DALARNAS LÄN</t>
        </is>
      </c>
      <c r="G62" t="inlineStr">
        <is>
          <t>AVESTA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18042-2023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45040</v>
      </c>
      <c r="E63" s="1" t="n">
        <v>46324</v>
      </c>
      <c r="F63" t="inlineStr">
        <is>
          <t>DALARNAS LÄN</t>
        </is>
      </c>
      <c r="G63" t="inlineStr">
        <is>
          <t>AVESTA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46324</v>
      </c>
      <c r="F64" t="inlineStr">
        <is>
          <t>DALARNAS LÄN</t>
        </is>
      </c>
      <c r="G64" t="inlineStr">
        <is>
          <t>AVESTA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15925-2024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45405</v>
      </c>
      <c r="E65" s="1" t="n">
        <v>46324</v>
      </c>
      <c r="F65" t="inlineStr">
        <is>
          <t>DALARNAS LÄN</t>
        </is>
      </c>
      <c r="G65" t="inlineStr">
        <is>
          <t>AVESTA</t>
        </is>
      </c>
      <c r="I65" t="n">
        <v>13.7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55384-2023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45238</v>
      </c>
      <c r="E66" s="1" t="n">
        <v>46324</v>
      </c>
      <c r="F66" t="inlineStr">
        <is>
          <t>DALARNAS LÄN</t>
        </is>
      </c>
      <c r="G66" t="inlineStr">
        <is>
          <t>AVESTA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45702</v>
      </c>
      <c r="E67" s="1" t="n">
        <v>46324</v>
      </c>
      <c r="F67" t="inlineStr">
        <is>
          <t>DALARNAS LÄN</t>
        </is>
      </c>
      <c r="G67" t="inlineStr">
        <is>
          <t>AVESTA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45267</v>
      </c>
      <c r="E68" s="1" t="n">
        <v>46324</v>
      </c>
      <c r="F68" t="inlineStr">
        <is>
          <t>DALARNAS LÄN</t>
        </is>
      </c>
      <c r="G68" t="inlineStr">
        <is>
          <t>AVESTA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24195-2025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46324</v>
      </c>
      <c r="F69" t="inlineStr">
        <is>
          <t>DALARNAS LÄN</t>
        </is>
      </c>
      <c r="G69" t="inlineStr">
        <is>
          <t>AVESTA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46324</v>
      </c>
      <c r="F70" t="inlineStr">
        <is>
          <t>DALARNAS LÄN</t>
        </is>
      </c>
      <c r="G70" t="inlineStr">
        <is>
          <t>AVESTA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24199-2025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46324</v>
      </c>
      <c r="F71" t="inlineStr">
        <is>
          <t>DALARNAS LÄN</t>
        </is>
      </c>
      <c r="G71" t="inlineStr">
        <is>
          <t>AVESTA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45082</v>
      </c>
      <c r="E72" s="1" t="n">
        <v>46324</v>
      </c>
      <c r="F72" t="inlineStr">
        <is>
          <t>DALARNAS LÄN</t>
        </is>
      </c>
      <c r="G72" t="inlineStr">
        <is>
          <t>AVESTA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46324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62093-2024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45656</v>
      </c>
      <c r="E74" s="1" t="n">
        <v>46324</v>
      </c>
      <c r="F74" t="inlineStr">
        <is>
          <t>DALARNAS LÄN</t>
        </is>
      </c>
      <c r="G74" t="inlineStr">
        <is>
          <t>AVESTA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45505</v>
      </c>
      <c r="E75" s="1" t="n">
        <v>46324</v>
      </c>
      <c r="F75" t="inlineStr">
        <is>
          <t>DALARNAS LÄN</t>
        </is>
      </c>
      <c r="G75" t="inlineStr">
        <is>
          <t>AVESTA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24834-2025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45799</v>
      </c>
      <c r="E76" s="1" t="n">
        <v>46324</v>
      </c>
      <c r="F76" t="inlineStr">
        <is>
          <t>DALARNAS LÄN</t>
        </is>
      </c>
      <c r="G76" t="inlineStr">
        <is>
          <t>AVESTA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58812-2023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45252</v>
      </c>
      <c r="E77" s="1" t="n">
        <v>46324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46324</v>
      </c>
      <c r="F78" t="inlineStr">
        <is>
          <t>DALARNAS LÄN</t>
        </is>
      </c>
      <c r="G78" t="inlineStr">
        <is>
          <t>AVESTA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46324</v>
      </c>
      <c r="F79" t="inlineStr">
        <is>
          <t>DALARNAS LÄN</t>
        </is>
      </c>
      <c r="G79" t="inlineStr">
        <is>
          <t>AVESTA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46324</v>
      </c>
      <c r="F80" t="inlineStr">
        <is>
          <t>DALARNAS LÄN</t>
        </is>
      </c>
      <c r="G80" t="inlineStr">
        <is>
          <t>AVESTA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46324</v>
      </c>
      <c r="F81" t="inlineStr">
        <is>
          <t>DALARNAS LÄN</t>
        </is>
      </c>
      <c r="G81" t="inlineStr">
        <is>
          <t>AVESTA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46324</v>
      </c>
      <c r="F82" t="inlineStr">
        <is>
          <t>DALARNAS LÄN</t>
        </is>
      </c>
      <c r="G82" t="inlineStr">
        <is>
          <t>AVESTA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25646-2025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46324</v>
      </c>
      <c r="F83" t="inlineStr">
        <is>
          <t>DALARNAS LÄN</t>
        </is>
      </c>
      <c r="G83" t="inlineStr">
        <is>
          <t>AVESTA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46324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44967</v>
      </c>
      <c r="E85" s="1" t="n">
        <v>46324</v>
      </c>
      <c r="F85" t="inlineStr">
        <is>
          <t>DALARNAS LÄN</t>
        </is>
      </c>
      <c r="G85" t="inlineStr">
        <is>
          <t>AVESTA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46324</v>
      </c>
      <c r="F86" t="inlineStr">
        <is>
          <t>DALARNAS LÄN</t>
        </is>
      </c>
      <c r="G86" t="inlineStr">
        <is>
          <t>AVESTA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45058</v>
      </c>
      <c r="E87" s="1" t="n">
        <v>46324</v>
      </c>
      <c r="F87" t="inlineStr">
        <is>
          <t>DALARNAS LÄN</t>
        </is>
      </c>
      <c r="G87" t="inlineStr">
        <is>
          <t>AVESTA</t>
        </is>
      </c>
      <c r="I87" t="n">
        <v>17.6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46324</v>
      </c>
      <c r="F88" t="inlineStr">
        <is>
          <t>DALARNAS LÄN</t>
        </is>
      </c>
      <c r="G88" t="inlineStr">
        <is>
          <t>AVESTA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45455</v>
      </c>
      <c r="E89" s="1" t="n">
        <v>46324</v>
      </c>
      <c r="F89" t="inlineStr">
        <is>
          <t>DALARNAS LÄN</t>
        </is>
      </c>
      <c r="G89" t="inlineStr">
        <is>
          <t>AVESTA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22816-2023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45072</v>
      </c>
      <c r="E90" s="1" t="n">
        <v>46324</v>
      </c>
      <c r="F90" t="inlineStr">
        <is>
          <t>DALARNAS LÄN</t>
        </is>
      </c>
      <c r="G90" t="inlineStr">
        <is>
          <t>AVESTA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46324</v>
      </c>
      <c r="F91" t="inlineStr">
        <is>
          <t>DALARNAS LÄN</t>
        </is>
      </c>
      <c r="G91" t="inlineStr">
        <is>
          <t>AVESTA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44876</v>
      </c>
      <c r="E92" s="1" t="n">
        <v>46324</v>
      </c>
      <c r="F92" t="inlineStr">
        <is>
          <t>DALARNAS LÄN</t>
        </is>
      </c>
      <c r="G92" t="inlineStr">
        <is>
          <t>AVESTA</t>
        </is>
      </c>
      <c r="H92" t="inlineStr">
        <is>
          <t>Kyrkan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45232</v>
      </c>
      <c r="E93" s="1" t="n">
        <v>46324</v>
      </c>
      <c r="F93" t="inlineStr">
        <is>
          <t>DALARNAS LÄN</t>
        </is>
      </c>
      <c r="G93" t="inlineStr">
        <is>
          <t>AVESTA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45510</v>
      </c>
      <c r="E94" s="1" t="n">
        <v>46324</v>
      </c>
      <c r="F94" t="inlineStr">
        <is>
          <t>DALARNAS LÄN</t>
        </is>
      </c>
      <c r="G94" t="inlineStr">
        <is>
          <t>AVESTA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46324</v>
      </c>
      <c r="F95" t="inlineStr">
        <is>
          <t>DALARNAS LÄN</t>
        </is>
      </c>
      <c r="G95" t="inlineStr">
        <is>
          <t>AVESTA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45649</v>
      </c>
      <c r="E96" s="1" t="n">
        <v>46324</v>
      </c>
      <c r="F96" t="inlineStr">
        <is>
          <t>DALARNAS LÄN</t>
        </is>
      </c>
      <c r="G96" t="inlineStr">
        <is>
          <t>AVESTA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46324</v>
      </c>
      <c r="F97" t="inlineStr">
        <is>
          <t>DALARNAS LÄN</t>
        </is>
      </c>
      <c r="G97" t="inlineStr">
        <is>
          <t>AVESTA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44839</v>
      </c>
      <c r="E98" s="1" t="n">
        <v>46324</v>
      </c>
      <c r="F98" t="inlineStr">
        <is>
          <t>DALARNAS LÄN</t>
        </is>
      </c>
      <c r="G98" t="inlineStr">
        <is>
          <t>AVESTA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45818</v>
      </c>
      <c r="E99" s="1" t="n">
        <v>46324</v>
      </c>
      <c r="F99" t="inlineStr">
        <is>
          <t>DALARNAS LÄN</t>
        </is>
      </c>
      <c r="G99" t="inlineStr">
        <is>
          <t>AVESTA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31430-2024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45505</v>
      </c>
      <c r="E100" s="1" t="n">
        <v>46324</v>
      </c>
      <c r="F100" t="inlineStr">
        <is>
          <t>DALARNAS LÄN</t>
        </is>
      </c>
      <c r="G100" t="inlineStr">
        <is>
          <t>AVESTA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73377-2021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44551</v>
      </c>
      <c r="E101" s="1" t="n">
        <v>46324</v>
      </c>
      <c r="F101" t="inlineStr">
        <is>
          <t>DALARNAS LÄN</t>
        </is>
      </c>
      <c r="G101" t="inlineStr">
        <is>
          <t>AVESTA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46324</v>
      </c>
      <c r="F102" t="inlineStr">
        <is>
          <t>DALARNAS LÄN</t>
        </is>
      </c>
      <c r="G102" t="inlineStr">
        <is>
          <t>AVESTA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46324</v>
      </c>
      <c r="F103" t="inlineStr">
        <is>
          <t>DALARNAS LÄN</t>
        </is>
      </c>
      <c r="G103" t="inlineStr">
        <is>
          <t>AVESTA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44966</v>
      </c>
      <c r="E104" s="1" t="n">
        <v>46324</v>
      </c>
      <c r="F104" t="inlineStr">
        <is>
          <t>DALARNAS LÄN</t>
        </is>
      </c>
      <c r="G104" t="inlineStr">
        <is>
          <t>AVESTA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45210</v>
      </c>
      <c r="E105" s="1" t="n">
        <v>46324</v>
      </c>
      <c r="F105" t="inlineStr">
        <is>
          <t>DALARNAS LÄN</t>
        </is>
      </c>
      <c r="G105" t="inlineStr">
        <is>
          <t>AVESTA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44971</v>
      </c>
      <c r="E106" s="1" t="n">
        <v>46324</v>
      </c>
      <c r="F106" t="inlineStr">
        <is>
          <t>DALARNAS LÄN</t>
        </is>
      </c>
      <c r="G106" t="inlineStr">
        <is>
          <t>AVESTA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46324</v>
      </c>
      <c r="F107" t="inlineStr">
        <is>
          <t>DALARNAS LÄN</t>
        </is>
      </c>
      <c r="G107" t="inlineStr">
        <is>
          <t>AVESTA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45182</v>
      </c>
      <c r="E108" s="1" t="n">
        <v>46324</v>
      </c>
      <c r="F108" t="inlineStr">
        <is>
          <t>DALARNAS LÄN</t>
        </is>
      </c>
      <c r="G108" t="inlineStr">
        <is>
          <t>AVESTA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46324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46324</v>
      </c>
      <c r="F110" t="inlineStr">
        <is>
          <t>DALARNAS LÄN</t>
        </is>
      </c>
      <c r="G110" t="inlineStr">
        <is>
          <t>AVESTA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46324</v>
      </c>
      <c r="F111" t="inlineStr">
        <is>
          <t>DALARNAS LÄN</t>
        </is>
      </c>
      <c r="G111" t="inlineStr">
        <is>
          <t>AVESTA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45008</v>
      </c>
      <c r="E112" s="1" t="n">
        <v>46324</v>
      </c>
      <c r="F112" t="inlineStr">
        <is>
          <t>DALARNAS LÄN</t>
        </is>
      </c>
      <c r="G112" t="inlineStr">
        <is>
          <t>AVESTA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44734</v>
      </c>
      <c r="E113" s="1" t="n">
        <v>46324</v>
      </c>
      <c r="F113" t="inlineStr">
        <is>
          <t>DALARNAS LÄN</t>
        </is>
      </c>
      <c r="G113" t="inlineStr">
        <is>
          <t>AVESTA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45910</v>
      </c>
      <c r="E114" s="1" t="n">
        <v>46324</v>
      </c>
      <c r="F114" t="inlineStr">
        <is>
          <t>DALARNAS LÄN</t>
        </is>
      </c>
      <c r="G114" t="inlineStr">
        <is>
          <t>AVESTA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43361-2025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46324</v>
      </c>
      <c r="F115" t="inlineStr">
        <is>
          <t>DALARNAS LÄN</t>
        </is>
      </c>
      <c r="G115" t="inlineStr">
        <is>
          <t>AVESTA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46324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46324</v>
      </c>
      <c r="F117" t="inlineStr">
        <is>
          <t>DALARNAS LÄN</t>
        </is>
      </c>
      <c r="G117" t="inlineStr">
        <is>
          <t>AVESTA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61585-2023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45265</v>
      </c>
      <c r="E118" s="1" t="n">
        <v>46324</v>
      </c>
      <c r="F118" t="inlineStr">
        <is>
          <t>DALARNAS LÄN</t>
        </is>
      </c>
      <c r="G118" t="inlineStr">
        <is>
          <t>AVESTA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45514</v>
      </c>
      <c r="E119" s="1" t="n">
        <v>46324</v>
      </c>
      <c r="F119" t="inlineStr">
        <is>
          <t>DALARNAS LÄN</t>
        </is>
      </c>
      <c r="G119" t="inlineStr">
        <is>
          <t>AVESTA</t>
        </is>
      </c>
      <c r="H119" t="inlineStr">
        <is>
          <t>Bergvik skog väst AB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45009</v>
      </c>
      <c r="E120" s="1" t="n">
        <v>46324</v>
      </c>
      <c r="F120" t="inlineStr">
        <is>
          <t>DALARNAS LÄN</t>
        </is>
      </c>
      <c r="G120" t="inlineStr">
        <is>
          <t>AVESTA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45009</v>
      </c>
      <c r="E121" s="1" t="n">
        <v>46324</v>
      </c>
      <c r="F121" t="inlineStr">
        <is>
          <t>DALARNAS LÄN</t>
        </is>
      </c>
      <c r="G121" t="inlineStr">
        <is>
          <t>AVESTA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45123</v>
      </c>
      <c r="E122" s="1" t="n">
        <v>46324</v>
      </c>
      <c r="F122" t="inlineStr">
        <is>
          <t>DALARNAS LÄN</t>
        </is>
      </c>
      <c r="G122" t="inlineStr">
        <is>
          <t>AVESTA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32771-2023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45123</v>
      </c>
      <c r="E123" s="1" t="n">
        <v>46324</v>
      </c>
      <c r="F123" t="inlineStr">
        <is>
          <t>DALARNAS LÄN</t>
        </is>
      </c>
      <c r="G123" t="inlineStr">
        <is>
          <t>AVESTA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46324</v>
      </c>
      <c r="F124" t="inlineStr">
        <is>
          <t>DALARNAS LÄN</t>
        </is>
      </c>
      <c r="G124" t="inlineStr">
        <is>
          <t>AVESTA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46324</v>
      </c>
      <c r="F125" t="inlineStr">
        <is>
          <t>DALARNAS LÄN</t>
        </is>
      </c>
      <c r="G125" t="inlineStr">
        <is>
          <t>AVESTA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13922-2022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44650</v>
      </c>
      <c r="E126" s="1" t="n">
        <v>46324</v>
      </c>
      <c r="F126" t="inlineStr">
        <is>
          <t>DALARNAS LÄN</t>
        </is>
      </c>
      <c r="G126" t="inlineStr">
        <is>
          <t>AVESTA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46324</v>
      </c>
      <c r="F127" t="inlineStr">
        <is>
          <t>DALARNAS LÄN</t>
        </is>
      </c>
      <c r="G127" t="inlineStr">
        <is>
          <t>AVESTA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45863</v>
      </c>
      <c r="E128" s="1" t="n">
        <v>46324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14.1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45863</v>
      </c>
      <c r="E129" s="1" t="n">
        <v>46324</v>
      </c>
      <c r="F129" t="inlineStr">
        <is>
          <t>DALARNAS LÄN</t>
        </is>
      </c>
      <c r="G129" t="inlineStr">
        <is>
          <t>AVESTA</t>
        </is>
      </c>
      <c r="H129" t="inlineStr">
        <is>
          <t>Sveaskog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45863</v>
      </c>
      <c r="E130" s="1" t="n">
        <v>46324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46324</v>
      </c>
      <c r="F131" t="inlineStr">
        <is>
          <t>DALARNAS LÄN</t>
        </is>
      </c>
      <c r="G131" t="inlineStr">
        <is>
          <t>AVESTA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36178-2025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45867</v>
      </c>
      <c r="E132" s="1" t="n">
        <v>46324</v>
      </c>
      <c r="F132" t="inlineStr">
        <is>
          <t>DALARNAS LÄN</t>
        </is>
      </c>
      <c r="G132" t="inlineStr">
        <is>
          <t>AVESTA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45574</v>
      </c>
      <c r="E133" s="1" t="n">
        <v>46324</v>
      </c>
      <c r="F133" t="inlineStr">
        <is>
          <t>DALARNAS LÄN</t>
        </is>
      </c>
      <c r="G133" t="inlineStr">
        <is>
          <t>AVESTA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46324</v>
      </c>
      <c r="F134" t="inlineStr">
        <is>
          <t>DALARNAS LÄN</t>
        </is>
      </c>
      <c r="G134" t="inlineStr">
        <is>
          <t>AVESTA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45314</v>
      </c>
      <c r="E135" s="1" t="n">
        <v>46324</v>
      </c>
      <c r="F135" t="inlineStr">
        <is>
          <t>DALARNAS LÄN</t>
        </is>
      </c>
      <c r="G135" t="inlineStr">
        <is>
          <t>AVESTA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64561-2023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46324</v>
      </c>
      <c r="F136" t="inlineStr">
        <is>
          <t>DALARNAS LÄN</t>
        </is>
      </c>
      <c r="G136" t="inlineStr">
        <is>
          <t>AVESTA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45943</v>
      </c>
      <c r="E137" s="1" t="n">
        <v>46324</v>
      </c>
      <c r="F137" t="inlineStr">
        <is>
          <t>DALARNAS LÄN</t>
        </is>
      </c>
      <c r="G137" t="inlineStr">
        <is>
          <t>AVESTA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45902</v>
      </c>
      <c r="E138" s="1" t="n">
        <v>46324</v>
      </c>
      <c r="F138" t="inlineStr">
        <is>
          <t>DALARNAS LÄN</t>
        </is>
      </c>
      <c r="G138" t="inlineStr">
        <is>
          <t>AVESTA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9403-2022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44616</v>
      </c>
      <c r="E139" s="1" t="n">
        <v>46324</v>
      </c>
      <c r="F139" t="inlineStr">
        <is>
          <t>DALARNAS LÄN</t>
        </is>
      </c>
      <c r="G139" t="inlineStr">
        <is>
          <t>AVESTA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45944</v>
      </c>
      <c r="E140" s="1" t="n">
        <v>46324</v>
      </c>
      <c r="F140" t="inlineStr">
        <is>
          <t>DALARNAS LÄN</t>
        </is>
      </c>
      <c r="G140" t="inlineStr">
        <is>
          <t>AVESTA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45948</v>
      </c>
      <c r="E141" s="1" t="n">
        <v>46324</v>
      </c>
      <c r="F141" t="inlineStr">
        <is>
          <t>DALARNAS LÄN</t>
        </is>
      </c>
      <c r="G141" t="inlineStr">
        <is>
          <t>AVESTA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45881</v>
      </c>
      <c r="E142" s="1" t="n">
        <v>46324</v>
      </c>
      <c r="F142" t="inlineStr">
        <is>
          <t>DALARNAS LÄN</t>
        </is>
      </c>
      <c r="G142" t="inlineStr">
        <is>
          <t>AVESTA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45948</v>
      </c>
      <c r="E143" s="1" t="n">
        <v>46324</v>
      </c>
      <c r="F143" t="inlineStr">
        <is>
          <t>DALARNAS LÄN</t>
        </is>
      </c>
      <c r="G143" t="inlineStr">
        <is>
          <t>AVESTA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45951</v>
      </c>
      <c r="E144" s="1" t="n">
        <v>46324</v>
      </c>
      <c r="F144" t="inlineStr">
        <is>
          <t>DALARNAS LÄN</t>
        </is>
      </c>
      <c r="G144" t="inlineStr">
        <is>
          <t>AVESTA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46315-2023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46324</v>
      </c>
      <c r="F145" t="inlineStr">
        <is>
          <t>DALARNAS LÄN</t>
        </is>
      </c>
      <c r="G145" t="inlineStr">
        <is>
          <t>AVESTA</t>
        </is>
      </c>
      <c r="H145" t="inlineStr">
        <is>
          <t>Bergvik skog väst AB</t>
        </is>
      </c>
      <c r="I145" t="n">
        <v>12.2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45019</v>
      </c>
      <c r="E146" s="1" t="n">
        <v>46324</v>
      </c>
      <c r="F146" t="inlineStr">
        <is>
          <t>DALARNAS LÄN</t>
        </is>
      </c>
      <c r="G146" t="inlineStr">
        <is>
          <t>AVESTA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52470-2025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46324</v>
      </c>
      <c r="F147" t="inlineStr">
        <is>
          <t>DALARNAS LÄN</t>
        </is>
      </c>
      <c r="G147" t="inlineStr">
        <is>
          <t>AVESTA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44972</v>
      </c>
      <c r="E148" s="1" t="n">
        <v>46324</v>
      </c>
      <c r="F148" t="inlineStr">
        <is>
          <t>DALARNAS LÄN</t>
        </is>
      </c>
      <c r="G148" t="inlineStr">
        <is>
          <t>AVESTA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45496</v>
      </c>
      <c r="E149" s="1" t="n">
        <v>46324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26527-2022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44739</v>
      </c>
      <c r="E150" s="1" t="n">
        <v>46324</v>
      </c>
      <c r="F150" t="inlineStr">
        <is>
          <t>DALARNAS LÄN</t>
        </is>
      </c>
      <c r="G150" t="inlineStr">
        <is>
          <t>AVESTA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21028-2026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46324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46324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46146</v>
      </c>
      <c r="E153" s="1" t="n">
        <v>46324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46324</v>
      </c>
      <c r="F154" t="inlineStr">
        <is>
          <t>DALARNAS LÄN</t>
        </is>
      </c>
      <c r="G154" t="inlineStr">
        <is>
          <t>AVESTA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46324</v>
      </c>
      <c r="F155" t="inlineStr">
        <is>
          <t>DALARNAS LÄN</t>
        </is>
      </c>
      <c r="G155" t="inlineStr">
        <is>
          <t>AVESTA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43670-2025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45912</v>
      </c>
      <c r="E156" s="1" t="n">
        <v>46324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45583</v>
      </c>
      <c r="E157" s="1" t="n">
        <v>46324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46324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45549</v>
      </c>
      <c r="E159" s="1" t="n">
        <v>46324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46324</v>
      </c>
      <c r="F160" t="inlineStr">
        <is>
          <t>DALARNAS LÄN</t>
        </is>
      </c>
      <c r="G160" t="inlineStr">
        <is>
          <t>AVESTA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46155</v>
      </c>
      <c r="E161" s="1" t="n">
        <v>46324</v>
      </c>
      <c r="F161" t="inlineStr">
        <is>
          <t>DALARNAS LÄN</t>
        </is>
      </c>
      <c r="G161" t="inlineStr">
        <is>
          <t>AVESTA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46324</v>
      </c>
      <c r="F162" t="inlineStr">
        <is>
          <t>DALARNAS LÄN</t>
        </is>
      </c>
      <c r="G162" t="inlineStr">
        <is>
          <t>AVESTA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23568-2025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46324</v>
      </c>
      <c r="F163" t="inlineStr">
        <is>
          <t>DALARNAS LÄN</t>
        </is>
      </c>
      <c r="G163" t="inlineStr">
        <is>
          <t>AVESTA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46155</v>
      </c>
      <c r="E164" s="1" t="n">
        <v>46324</v>
      </c>
      <c r="F164" t="inlineStr">
        <is>
          <t>DALARNAS LÄN</t>
        </is>
      </c>
      <c r="G164" t="inlineStr">
        <is>
          <t>AVESTA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46155</v>
      </c>
      <c r="E165" s="1" t="n">
        <v>46324</v>
      </c>
      <c r="F165" t="inlineStr">
        <is>
          <t>DALARNAS LÄN</t>
        </is>
      </c>
      <c r="G165" t="inlineStr">
        <is>
          <t>AVESTA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46324</v>
      </c>
      <c r="F166" t="inlineStr">
        <is>
          <t>DALARNAS LÄN</t>
        </is>
      </c>
      <c r="G166" t="inlineStr">
        <is>
          <t>AVESTA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19359-2025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45769</v>
      </c>
      <c r="E167" s="1" t="n">
        <v>46324</v>
      </c>
      <c r="F167" t="inlineStr">
        <is>
          <t>DALARNAS LÄN</t>
        </is>
      </c>
      <c r="G167" t="inlineStr">
        <is>
          <t>AVESTA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46324</v>
      </c>
      <c r="F168" t="inlineStr">
        <is>
          <t>DALARNAS LÄN</t>
        </is>
      </c>
      <c r="G168" t="inlineStr">
        <is>
          <t>AVESTA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46324</v>
      </c>
      <c r="F169" t="inlineStr">
        <is>
          <t>DALARNAS LÄN</t>
        </is>
      </c>
      <c r="G169" t="inlineStr">
        <is>
          <t>AVESTA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45994</v>
      </c>
      <c r="E170" s="1" t="n">
        <v>46324</v>
      </c>
      <c r="F170" t="inlineStr">
        <is>
          <t>DALARNAS LÄN</t>
        </is>
      </c>
      <c r="G170" t="inlineStr">
        <is>
          <t>AVESTA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44613</v>
      </c>
      <c r="E171" s="1" t="n">
        <v>46324</v>
      </c>
      <c r="F171" t="inlineStr">
        <is>
          <t>DALARNAS LÄN</t>
        </is>
      </c>
      <c r="G171" t="inlineStr">
        <is>
          <t>AVESTA</t>
        </is>
      </c>
      <c r="I171" t="n">
        <v>12.9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46324</v>
      </c>
      <c r="F172" t="inlineStr">
        <is>
          <t>DALARNAS LÄN</t>
        </is>
      </c>
      <c r="G172" t="inlineStr">
        <is>
          <t>AVESTA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63316-2023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45273</v>
      </c>
      <c r="E173" s="1" t="n">
        <v>46324</v>
      </c>
      <c r="F173" t="inlineStr">
        <is>
          <t>DALARNAS LÄN</t>
        </is>
      </c>
      <c r="G173" t="inlineStr">
        <is>
          <t>AVESTA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46324</v>
      </c>
      <c r="F174" t="inlineStr">
        <is>
          <t>DALARNAS LÄN</t>
        </is>
      </c>
      <c r="G174" t="inlineStr">
        <is>
          <t>AVESTA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24389-2026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46324</v>
      </c>
      <c r="F175" t="inlineStr">
        <is>
          <t>DALARNAS LÄN</t>
        </is>
      </c>
      <c r="G175" t="inlineStr">
        <is>
          <t>AVESTA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46324</v>
      </c>
      <c r="F176" t="inlineStr">
        <is>
          <t>DALARNAS LÄN</t>
        </is>
      </c>
      <c r="G176" t="inlineStr">
        <is>
          <t>AVESTA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46670-2024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46324</v>
      </c>
      <c r="F177" t="inlineStr">
        <is>
          <t>DALARNAS LÄN</t>
        </is>
      </c>
      <c r="G177" t="inlineStr">
        <is>
          <t>AVESTA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46676-2024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46324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46169</v>
      </c>
      <c r="E179" s="1" t="n">
        <v>46324</v>
      </c>
      <c r="F179" t="inlineStr">
        <is>
          <t>DALARNAS LÄN</t>
        </is>
      </c>
      <c r="G179" t="inlineStr">
        <is>
          <t>AVESTA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44474-2022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44840</v>
      </c>
      <c r="E180" s="1" t="n">
        <v>46324</v>
      </c>
      <c r="F180" t="inlineStr">
        <is>
          <t>DALARNAS LÄN</t>
        </is>
      </c>
      <c r="G180" t="inlineStr">
        <is>
          <t>AVESTA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45138</v>
      </c>
      <c r="E181" s="1" t="n">
        <v>46324</v>
      </c>
      <c r="F181" t="inlineStr">
        <is>
          <t>DALARNAS LÄN</t>
        </is>
      </c>
      <c r="G181" t="inlineStr">
        <is>
          <t>AVESTA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62040-2023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45266</v>
      </c>
      <c r="E182" s="1" t="n">
        <v>46324</v>
      </c>
      <c r="F182" t="inlineStr">
        <is>
          <t>DALARNAS LÄN</t>
        </is>
      </c>
      <c r="G182" t="inlineStr">
        <is>
          <t>AVESTA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45190</v>
      </c>
      <c r="E183" s="1" t="n">
        <v>46324</v>
      </c>
      <c r="F183" t="inlineStr">
        <is>
          <t>DALARNAS LÄN</t>
        </is>
      </c>
      <c r="G183" t="inlineStr">
        <is>
          <t>AVESTA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45473</v>
      </c>
      <c r="E184" s="1" t="n">
        <v>46324</v>
      </c>
      <c r="F184" t="inlineStr">
        <is>
          <t>DALARNAS LÄN</t>
        </is>
      </c>
      <c r="G184" t="inlineStr">
        <is>
          <t>AVESTA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46324</v>
      </c>
      <c r="F185" t="inlineStr">
        <is>
          <t>DALARNAS LÄN</t>
        </is>
      </c>
      <c r="G185" t="inlineStr">
        <is>
          <t>AVESTA</t>
        </is>
      </c>
      <c r="I185" t="n">
        <v>19.2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47867-2022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44855</v>
      </c>
      <c r="E186" s="1" t="n">
        <v>46324</v>
      </c>
      <c r="F186" t="inlineStr">
        <is>
          <t>DALARNAS LÄN</t>
        </is>
      </c>
      <c r="G186" t="inlineStr">
        <is>
          <t>AVESTA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45408</v>
      </c>
      <c r="E187" s="1" t="n">
        <v>46324</v>
      </c>
      <c r="F187" t="inlineStr">
        <is>
          <t>DALARNAS LÄN</t>
        </is>
      </c>
      <c r="G187" t="inlineStr">
        <is>
          <t>AVESTA</t>
        </is>
      </c>
      <c r="H187" t="inlineStr">
        <is>
          <t>Bergvik skog väst AB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45369</v>
      </c>
      <c r="E188" s="1" t="n">
        <v>46324</v>
      </c>
      <c r="F188" t="inlineStr">
        <is>
          <t>DALARNAS LÄN</t>
        </is>
      </c>
      <c r="G188" t="inlineStr">
        <is>
          <t>AVESTA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52767-2022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46324</v>
      </c>
      <c r="F189" t="inlineStr">
        <is>
          <t>DALARNAS LÄN</t>
        </is>
      </c>
      <c r="G189" t="inlineStr">
        <is>
          <t>AVESTA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46324</v>
      </c>
      <c r="F190" t="inlineStr">
        <is>
          <t>DALARNAS LÄN</t>
        </is>
      </c>
      <c r="G190" t="inlineStr">
        <is>
          <t>AVESTA</t>
        </is>
      </c>
      <c r="H190" t="inlineStr">
        <is>
          <t>Sveaskog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46124</v>
      </c>
      <c r="E191" s="1" t="n">
        <v>46324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46324</v>
      </c>
      <c r="F192" t="inlineStr">
        <is>
          <t>DALARNAS LÄN</t>
        </is>
      </c>
      <c r="G192" t="inlineStr">
        <is>
          <t>AVESTA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13940-2023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45008</v>
      </c>
      <c r="E193" s="1" t="n">
        <v>46324</v>
      </c>
      <c r="F193" t="inlineStr">
        <is>
          <t>DALARNAS LÄN</t>
        </is>
      </c>
      <c r="G193" t="inlineStr">
        <is>
          <t>AVESTA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46324</v>
      </c>
      <c r="F194" t="inlineStr">
        <is>
          <t>DALARNAS LÄN</t>
        </is>
      </c>
      <c r="G194" t="inlineStr">
        <is>
          <t>AVESTA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46324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46324</v>
      </c>
      <c r="F196" t="inlineStr">
        <is>
          <t>DALARNAS LÄN</t>
        </is>
      </c>
      <c r="G196" t="inlineStr">
        <is>
          <t>AVESTA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45763</v>
      </c>
      <c r="E197" s="1" t="n">
        <v>46324</v>
      </c>
      <c r="F197" t="inlineStr">
        <is>
          <t>DALARNAS LÄN</t>
        </is>
      </c>
      <c r="G197" t="inlineStr">
        <is>
          <t>AVESTA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45316</v>
      </c>
      <c r="E198" s="1" t="n">
        <v>46324</v>
      </c>
      <c r="F198" t="inlineStr">
        <is>
          <t>DALARNAS LÄN</t>
        </is>
      </c>
      <c r="G198" t="inlineStr">
        <is>
          <t>AVESTA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46324</v>
      </c>
      <c r="F199" t="inlineStr">
        <is>
          <t>DALARNAS LÄN</t>
        </is>
      </c>
      <c r="G199" t="inlineStr">
        <is>
          <t>AVESTA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46324</v>
      </c>
      <c r="F200" t="inlineStr">
        <is>
          <t>DALARNAS LÄN</t>
        </is>
      </c>
      <c r="G200" t="inlineStr">
        <is>
          <t>AVESTA</t>
        </is>
      </c>
      <c r="H200" t="inlineStr">
        <is>
          <t>Bergvik skog väst AB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46324</v>
      </c>
      <c r="F201" t="inlineStr">
        <is>
          <t>DALARNAS LÄN</t>
        </is>
      </c>
      <c r="G201" t="inlineStr">
        <is>
          <t>AVESTA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46324</v>
      </c>
      <c r="F202" t="inlineStr">
        <is>
          <t>DALARNAS LÄN</t>
        </is>
      </c>
      <c r="G202" t="inlineStr">
        <is>
          <t>AVESTA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46324</v>
      </c>
      <c r="F203" t="inlineStr">
        <is>
          <t>DALARNAS LÄN</t>
        </is>
      </c>
      <c r="G203" t="inlineStr">
        <is>
          <t>AVESTA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50681-2024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45602</v>
      </c>
      <c r="E204" s="1" t="n">
        <v>46324</v>
      </c>
      <c r="F204" t="inlineStr">
        <is>
          <t>DALARNAS LÄN</t>
        </is>
      </c>
      <c r="G204" t="inlineStr">
        <is>
          <t>AVESTA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46324</v>
      </c>
      <c r="F205" t="inlineStr">
        <is>
          <t>DALARNAS LÄN</t>
        </is>
      </c>
      <c r="G205" t="inlineStr">
        <is>
          <t>AVESTA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46185</v>
      </c>
      <c r="E206" s="1" t="n">
        <v>46324</v>
      </c>
      <c r="F206" t="inlineStr">
        <is>
          <t>DALARNAS LÄN</t>
        </is>
      </c>
      <c r="G206" t="inlineStr">
        <is>
          <t>AVESTA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46324</v>
      </c>
      <c r="F207" t="inlineStr">
        <is>
          <t>DALARNAS LÄN</t>
        </is>
      </c>
      <c r="G207" t="inlineStr">
        <is>
          <t>AVESTA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14944-2023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45015</v>
      </c>
      <c r="E208" s="1" t="n">
        <v>46324</v>
      </c>
      <c r="F208" t="inlineStr">
        <is>
          <t>DALARNAS LÄN</t>
        </is>
      </c>
      <c r="G208" t="inlineStr">
        <is>
          <t>AVESTA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44739</v>
      </c>
      <c r="E209" s="1" t="n">
        <v>46324</v>
      </c>
      <c r="F209" t="inlineStr">
        <is>
          <t>DALARNAS LÄN</t>
        </is>
      </c>
      <c r="G209" t="inlineStr">
        <is>
          <t>AVESTA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46324</v>
      </c>
      <c r="F210" t="inlineStr">
        <is>
          <t>DALARNAS LÄN</t>
        </is>
      </c>
      <c r="G210" t="inlineStr">
        <is>
          <t>AVESTA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45538</v>
      </c>
      <c r="E211" s="1" t="n">
        <v>46324</v>
      </c>
      <c r="F211" t="inlineStr">
        <is>
          <t>DALARNAS LÄN</t>
        </is>
      </c>
      <c r="G211" t="inlineStr">
        <is>
          <t>AVESTA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46324</v>
      </c>
      <c r="F212" t="inlineStr">
        <is>
          <t>DALARNAS LÄN</t>
        </is>
      </c>
      <c r="G212" t="inlineStr">
        <is>
          <t>AVESTA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46324</v>
      </c>
      <c r="F213" t="inlineStr">
        <is>
          <t>DALARNAS LÄN</t>
        </is>
      </c>
      <c r="G213" t="inlineStr">
        <is>
          <t>AVESTA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28227-2026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46196</v>
      </c>
      <c r="E214" s="1" t="n">
        <v>46324</v>
      </c>
      <c r="F214" t="inlineStr">
        <is>
          <t>DALARNAS LÄN</t>
        </is>
      </c>
      <c r="G214" t="inlineStr">
        <is>
          <t>AVESTA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46324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44684</v>
      </c>
      <c r="E216" s="1" t="n">
        <v>46324</v>
      </c>
      <c r="F216" t="inlineStr">
        <is>
          <t>DALARNAS LÄN</t>
        </is>
      </c>
      <c r="G216" t="inlineStr">
        <is>
          <t>AVESTA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46324</v>
      </c>
      <c r="F217" t="inlineStr">
        <is>
          <t>DALARNAS LÄN</t>
        </is>
      </c>
      <c r="G217" t="inlineStr">
        <is>
          <t>AVESTA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45646</v>
      </c>
      <c r="E218" s="1" t="n">
        <v>46324</v>
      </c>
      <c r="F218" t="inlineStr">
        <is>
          <t>DALARNAS LÄN</t>
        </is>
      </c>
      <c r="G218" t="inlineStr">
        <is>
          <t>AVESTA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46324</v>
      </c>
      <c r="F219" t="inlineStr">
        <is>
          <t>DALARNAS LÄN</t>
        </is>
      </c>
      <c r="G219" t="inlineStr">
        <is>
          <t>AVESTA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8785-2022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44614</v>
      </c>
      <c r="E220" s="1" t="n">
        <v>46324</v>
      </c>
      <c r="F220" t="inlineStr">
        <is>
          <t>DALARNAS LÄN</t>
        </is>
      </c>
      <c r="G220" t="inlineStr">
        <is>
          <t>AVESTA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45078</v>
      </c>
      <c r="E221" s="1" t="n">
        <v>46324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45598</v>
      </c>
      <c r="E222" s="1" t="n">
        <v>46324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45598</v>
      </c>
      <c r="E223" s="1" t="n">
        <v>46324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63460-2025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46324</v>
      </c>
      <c r="F224" t="inlineStr">
        <is>
          <t>DALARNAS LÄN</t>
        </is>
      </c>
      <c r="G224" t="inlineStr">
        <is>
          <t>AVESTA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37534-2022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44809</v>
      </c>
      <c r="E225" s="1" t="n">
        <v>46324</v>
      </c>
      <c r="F225" t="inlineStr">
        <is>
          <t>DALARNAS LÄN</t>
        </is>
      </c>
      <c r="G225" t="inlineStr">
        <is>
          <t>AVESTA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32770-2023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45123</v>
      </c>
      <c r="E226" s="1" t="n">
        <v>46324</v>
      </c>
      <c r="F226" t="inlineStr">
        <is>
          <t>DALARNAS LÄN</t>
        </is>
      </c>
      <c r="G226" t="inlineStr">
        <is>
          <t>AVESTA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41729-2024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45560</v>
      </c>
      <c r="E227" s="1" t="n">
        <v>46324</v>
      </c>
      <c r="F227" t="inlineStr">
        <is>
          <t>DALARNAS LÄN</t>
        </is>
      </c>
      <c r="G227" t="inlineStr">
        <is>
          <t>AVESTA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42291-2024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46324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46324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45269</v>
      </c>
      <c r="E230" s="1" t="n">
        <v>46324</v>
      </c>
      <c r="F230" t="inlineStr">
        <is>
          <t>DALARNAS LÄN</t>
        </is>
      </c>
      <c r="G230" t="inlineStr">
        <is>
          <t>AVESTA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45453</v>
      </c>
      <c r="E231" s="1" t="n">
        <v>46324</v>
      </c>
      <c r="F231" t="inlineStr">
        <is>
          <t>DALARNAS LÄN</t>
        </is>
      </c>
      <c r="G231" t="inlineStr">
        <is>
          <t>AVESTA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45639</v>
      </c>
      <c r="E232" s="1" t="n">
        <v>46324</v>
      </c>
      <c r="F232" t="inlineStr">
        <is>
          <t>DALARNAS LÄN</t>
        </is>
      </c>
      <c r="G232" t="inlineStr">
        <is>
          <t>AVESTA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16522-2025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45751</v>
      </c>
      <c r="E233" s="1" t="n">
        <v>46324</v>
      </c>
      <c r="F233" t="inlineStr">
        <is>
          <t>DALARNAS LÄN</t>
        </is>
      </c>
      <c r="G233" t="inlineStr">
        <is>
          <t>AVESTA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20942-2025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45777</v>
      </c>
      <c r="E234" s="1" t="n">
        <v>46324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46324</v>
      </c>
      <c r="F235" t="inlineStr">
        <is>
          <t>DALARNAS LÄN</t>
        </is>
      </c>
      <c r="G235" t="inlineStr">
        <is>
          <t>AVESTA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46324</v>
      </c>
      <c r="F236" t="inlineStr">
        <is>
          <t>DALARNAS LÄN</t>
        </is>
      </c>
      <c r="G236" t="inlineStr">
        <is>
          <t>AVESTA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46324</v>
      </c>
      <c r="F237" t="inlineStr">
        <is>
          <t>DALARNAS LÄN</t>
        </is>
      </c>
      <c r="G237" t="inlineStr">
        <is>
          <t>AVESTA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46324</v>
      </c>
      <c r="F238" t="inlineStr">
        <is>
          <t>DALARNAS LÄN</t>
        </is>
      </c>
      <c r="G238" t="inlineStr">
        <is>
          <t>AVESTA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16820-2026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46113</v>
      </c>
      <c r="E239" s="1" t="n">
        <v>46324</v>
      </c>
      <c r="F239" t="inlineStr">
        <is>
          <t>DALARNAS LÄN</t>
        </is>
      </c>
      <c r="G239" t="inlineStr">
        <is>
          <t>AVESTA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46324</v>
      </c>
      <c r="F240" t="inlineStr">
        <is>
          <t>DALARNAS LÄN</t>
        </is>
      </c>
      <c r="G240" t="inlineStr">
        <is>
          <t>AVESTA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46324</v>
      </c>
      <c r="F241" t="inlineStr">
        <is>
          <t>DALARNAS LÄN</t>
        </is>
      </c>
      <c r="G241" t="inlineStr">
        <is>
          <t>AVESTA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46324</v>
      </c>
      <c r="F242" t="inlineStr">
        <is>
          <t>DALARNAS LÄN</t>
        </is>
      </c>
      <c r="G242" t="inlineStr">
        <is>
          <t>AVESTA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45405</v>
      </c>
      <c r="E243" s="1" t="n">
        <v>46324</v>
      </c>
      <c r="F243" t="inlineStr">
        <is>
          <t>DALARNAS LÄN</t>
        </is>
      </c>
      <c r="G243" t="inlineStr">
        <is>
          <t>AVESTA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46324</v>
      </c>
      <c r="F244" t="inlineStr">
        <is>
          <t>DALARNAS LÄN</t>
        </is>
      </c>
      <c r="G244" t="inlineStr">
        <is>
          <t>AVESTA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46223</v>
      </c>
      <c r="E245" s="1" t="n">
        <v>46324</v>
      </c>
      <c r="F245" t="inlineStr">
        <is>
          <t>DALARNAS LÄN</t>
        </is>
      </c>
      <c r="G245" t="inlineStr">
        <is>
          <t>AVESTA</t>
        </is>
      </c>
      <c r="H245" t="inlineStr">
        <is>
          <t>Bergvik skog väst AB</t>
        </is>
      </c>
      <c r="I245" t="n">
        <v>21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46128</v>
      </c>
      <c r="E246" s="1" t="n">
        <v>46324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46128</v>
      </c>
      <c r="E247" s="1" t="n">
        <v>46324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18679-2026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46128</v>
      </c>
      <c r="E248" s="1" t="n">
        <v>46324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46324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46168</v>
      </c>
      <c r="E250" s="1" t="n">
        <v>46324</v>
      </c>
      <c r="F250" t="inlineStr">
        <is>
          <t>DALARNAS LÄN</t>
        </is>
      </c>
      <c r="G250" t="inlineStr">
        <is>
          <t>AVESTA</t>
        </is>
      </c>
      <c r="I250" t="n">
        <v>8.800000000000001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45510</v>
      </c>
      <c r="E251" s="1" t="n">
        <v>46324</v>
      </c>
      <c r="F251" t="inlineStr">
        <is>
          <t>DALARNAS LÄN</t>
        </is>
      </c>
      <c r="G251" t="inlineStr">
        <is>
          <t>AVESTA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46135</v>
      </c>
      <c r="E252" s="1" t="n">
        <v>46324</v>
      </c>
      <c r="F252" t="inlineStr">
        <is>
          <t>DALARNAS LÄN</t>
        </is>
      </c>
      <c r="G252" t="inlineStr">
        <is>
          <t>AVESTA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45316</v>
      </c>
      <c r="E253" s="1" t="n">
        <v>46324</v>
      </c>
      <c r="F253" t="inlineStr">
        <is>
          <t>DALARNAS LÄN</t>
        </is>
      </c>
      <c r="G253" t="inlineStr">
        <is>
          <t>AVESTA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45593</v>
      </c>
      <c r="E254" s="1" t="n">
        <v>46324</v>
      </c>
      <c r="F254" t="inlineStr">
        <is>
          <t>DALARNAS LÄN</t>
        </is>
      </c>
      <c r="G254" t="inlineStr">
        <is>
          <t>AVESTA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46324</v>
      </c>
      <c r="F255" t="inlineStr">
        <is>
          <t>DALARNAS LÄN</t>
        </is>
      </c>
      <c r="G255" t="inlineStr">
        <is>
          <t>AVESTA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45499</v>
      </c>
      <c r="E256" s="1" t="n">
        <v>46324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45866</v>
      </c>
      <c r="E257" s="1" t="n">
        <v>46324</v>
      </c>
      <c r="F257" t="inlineStr">
        <is>
          <t>DALARNAS LÄN</t>
        </is>
      </c>
      <c r="G257" t="inlineStr">
        <is>
          <t>AVESTA</t>
        </is>
      </c>
      <c r="I257" t="n">
        <v>10.6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46283</v>
      </c>
      <c r="E258" s="1" t="n">
        <v>46324</v>
      </c>
      <c r="F258" t="inlineStr">
        <is>
          <t>DALARNAS LÄN</t>
        </is>
      </c>
      <c r="G258" t="inlineStr">
        <is>
          <t>AVESTA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46324</v>
      </c>
      <c r="F259" t="inlineStr">
        <is>
          <t>DALARNAS LÄN</t>
        </is>
      </c>
      <c r="G259" t="inlineStr">
        <is>
          <t>AVESTA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38553-2026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46283</v>
      </c>
      <c r="E260" s="1" t="n">
        <v>46324</v>
      </c>
      <c r="F260" t="inlineStr">
        <is>
          <t>DALARNAS LÄN</t>
        </is>
      </c>
      <c r="G260" t="inlineStr">
        <is>
          <t>AVESTA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46324</v>
      </c>
      <c r="F261" t="inlineStr">
        <is>
          <t>DALARNAS LÄN</t>
        </is>
      </c>
      <c r="G261" t="inlineStr">
        <is>
          <t>AVESTA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44066-2025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46324</v>
      </c>
      <c r="F262" t="inlineStr">
        <is>
          <t>DALARNAS LÄN</t>
        </is>
      </c>
      <c r="G262" t="inlineStr">
        <is>
          <t>AVESTA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32113-2024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45511</v>
      </c>
      <c r="E263" s="1" t="n">
        <v>46324</v>
      </c>
      <c r="F263" t="inlineStr">
        <is>
          <t>DALARNAS LÄN</t>
        </is>
      </c>
      <c r="G263" t="inlineStr">
        <is>
          <t>AVESTA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44746</v>
      </c>
      <c r="E264" s="1" t="n">
        <v>46324</v>
      </c>
      <c r="F264" t="inlineStr">
        <is>
          <t>DALARNAS LÄN</t>
        </is>
      </c>
      <c r="G264" t="inlineStr">
        <is>
          <t>AVESTA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32924-2026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46244</v>
      </c>
      <c r="E265" s="1" t="n">
        <v>46324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45910</v>
      </c>
      <c r="E266" s="1" t="n">
        <v>46324</v>
      </c>
      <c r="F266" t="inlineStr">
        <is>
          <t>DALARNAS LÄN</t>
        </is>
      </c>
      <c r="G266" t="inlineStr">
        <is>
          <t>AVESTA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46288</v>
      </c>
      <c r="E267" s="1" t="n">
        <v>46324</v>
      </c>
      <c r="F267" t="inlineStr">
        <is>
          <t>DALARNAS LÄN</t>
        </is>
      </c>
      <c r="G267" t="inlineStr">
        <is>
          <t>AVESTA</t>
        </is>
      </c>
      <c r="H267" t="inlineStr">
        <is>
          <t>Sveaskog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45348</v>
      </c>
      <c r="E268" s="1" t="n">
        <v>46324</v>
      </c>
      <c r="F268" t="inlineStr">
        <is>
          <t>DALARNAS LÄN</t>
        </is>
      </c>
      <c r="G268" t="inlineStr">
        <is>
          <t>AVESTA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39318-2026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46287</v>
      </c>
      <c r="E269" s="1" t="n">
        <v>46324</v>
      </c>
      <c r="F269" t="inlineStr">
        <is>
          <t>DALARNAS LÄN</t>
        </is>
      </c>
      <c r="G269" t="inlineStr">
        <is>
          <t>AVESTA</t>
        </is>
      </c>
      <c r="H269" t="inlineStr">
        <is>
          <t>Bergvik skog väst AB</t>
        </is>
      </c>
      <c r="I269" t="n">
        <v>49.9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46324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45791</v>
      </c>
      <c r="E271" s="1" t="n">
        <v>46324</v>
      </c>
      <c r="F271" t="inlineStr">
        <is>
          <t>DALARNAS LÄN</t>
        </is>
      </c>
      <c r="G271" t="inlineStr">
        <is>
          <t>AVESTA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46324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21322-2023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46324</v>
      </c>
      <c r="F273" t="inlineStr">
        <is>
          <t>DALARNAS LÄN</t>
        </is>
      </c>
      <c r="G273" t="inlineStr">
        <is>
          <t>AVESTA</t>
        </is>
      </c>
      <c r="H273" t="inlineStr">
        <is>
          <t>Bergvik skog väst AB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37387-2025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45877</v>
      </c>
      <c r="E274" s="1" t="n">
        <v>46324</v>
      </c>
      <c r="F274" t="inlineStr">
        <is>
          <t>DALARNAS LÄN</t>
        </is>
      </c>
      <c r="G274" t="inlineStr">
        <is>
          <t>AVESTA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29468-2022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44753</v>
      </c>
      <c r="E275" s="1" t="n">
        <v>46324</v>
      </c>
      <c r="F275" t="inlineStr">
        <is>
          <t>DALARNAS LÄN</t>
        </is>
      </c>
      <c r="G275" t="inlineStr">
        <is>
          <t>AVESTA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46324</v>
      </c>
      <c r="F276" t="inlineStr">
        <is>
          <t>DALARNAS LÄN</t>
        </is>
      </c>
      <c r="G276" t="inlineStr">
        <is>
          <t>AVESTA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44980</v>
      </c>
      <c r="E277" s="1" t="n">
        <v>46324</v>
      </c>
      <c r="F277" t="inlineStr">
        <is>
          <t>DALARNAS LÄN</t>
        </is>
      </c>
      <c r="G277" t="inlineStr">
        <is>
          <t>AVESTA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45496</v>
      </c>
      <c r="E278" s="1" t="n">
        <v>46324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45496</v>
      </c>
      <c r="E279" s="1" t="n">
        <v>46324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46252</v>
      </c>
      <c r="E280" s="1" t="n">
        <v>46324</v>
      </c>
      <c r="F280" t="inlineStr">
        <is>
          <t>DALARNAS LÄN</t>
        </is>
      </c>
      <c r="G280" t="inlineStr">
        <is>
          <t>AVESTA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46297</v>
      </c>
      <c r="E281" s="1" t="n">
        <v>46324</v>
      </c>
      <c r="F281" t="inlineStr">
        <is>
          <t>DALARNAS LÄN</t>
        </is>
      </c>
      <c r="G281" t="inlineStr">
        <is>
          <t>AVESTA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46672-2024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45583</v>
      </c>
      <c r="E282" s="1" t="n">
        <v>46324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46324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45721</v>
      </c>
      <c r="E284" s="1" t="n">
        <v>46324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45492</v>
      </c>
      <c r="E285" s="1" t="n">
        <v>46324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62022-2023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45266</v>
      </c>
      <c r="E286" s="1" t="n">
        <v>46324</v>
      </c>
      <c r="F286" t="inlineStr">
        <is>
          <t>DALARNAS LÄN</t>
        </is>
      </c>
      <c r="G286" t="inlineStr">
        <is>
          <t>AVESTA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46296</v>
      </c>
      <c r="E287" s="1" t="n">
        <v>46324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50900-2022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44865</v>
      </c>
      <c r="E288" s="1" t="n">
        <v>46324</v>
      </c>
      <c r="F288" t="inlineStr">
        <is>
          <t>DALARNAS LÄN</t>
        </is>
      </c>
      <c r="G288" t="inlineStr">
        <is>
          <t>AVESTA</t>
        </is>
      </c>
      <c r="I288" t="n">
        <v>14.8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46301</v>
      </c>
      <c r="E289" s="1" t="n">
        <v>46324</v>
      </c>
      <c r="F289" t="inlineStr">
        <is>
          <t>DALARNAS LÄN</t>
        </is>
      </c>
      <c r="G289" t="inlineStr">
        <is>
          <t>AVESTA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18679-2022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44687</v>
      </c>
      <c r="E290" s="1" t="n">
        <v>46324</v>
      </c>
      <c r="F290" t="inlineStr">
        <is>
          <t>DALARNAS LÄN</t>
        </is>
      </c>
      <c r="G290" t="inlineStr">
        <is>
          <t>AVESTA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46301</v>
      </c>
      <c r="E291" s="1" t="n">
        <v>46324</v>
      </c>
      <c r="F291" t="inlineStr">
        <is>
          <t>DALARNAS LÄN</t>
        </is>
      </c>
      <c r="G291" t="inlineStr">
        <is>
          <t>AVESTA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44587</v>
      </c>
      <c r="E292" s="1" t="n">
        <v>46324</v>
      </c>
      <c r="F292" t="inlineStr">
        <is>
          <t>DALARNAS LÄN</t>
        </is>
      </c>
      <c r="G292" t="inlineStr">
        <is>
          <t>AVESTA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45196</v>
      </c>
      <c r="E293" s="1" t="n">
        <v>46324</v>
      </c>
      <c r="F293" t="inlineStr">
        <is>
          <t>DALARNAS LÄN</t>
        </is>
      </c>
      <c r="G293" t="inlineStr">
        <is>
          <t>AVESTA</t>
        </is>
      </c>
      <c r="H293" t="inlineStr">
        <is>
          <t>Sveaskog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46279-2023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45196</v>
      </c>
      <c r="E294" s="1" t="n">
        <v>46324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45328</v>
      </c>
      <c r="E295" s="1" t="n">
        <v>46324</v>
      </c>
      <c r="F295" t="inlineStr">
        <is>
          <t>DALARNAS LÄN</t>
        </is>
      </c>
      <c r="G295" t="inlineStr">
        <is>
          <t>AVESTA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46303</v>
      </c>
      <c r="E296" s="1" t="n">
        <v>46324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41564-2026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46301</v>
      </c>
      <c r="E297" s="1" t="n">
        <v>46324</v>
      </c>
      <c r="F297" t="inlineStr">
        <is>
          <t>DALARNAS LÄN</t>
        </is>
      </c>
      <c r="G297" t="inlineStr">
        <is>
          <t>AVESTA</t>
        </is>
      </c>
      <c r="H297" t="inlineStr">
        <is>
          <t>Bergvik skog väst AB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22234-2024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45446</v>
      </c>
      <c r="E298" s="1" t="n">
        <v>46324</v>
      </c>
      <c r="F298" t="inlineStr">
        <is>
          <t>DALARNAS LÄN</t>
        </is>
      </c>
      <c r="G298" t="inlineStr">
        <is>
          <t>AVESTA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46261</v>
      </c>
      <c r="E299" s="1" t="n">
        <v>46324</v>
      </c>
      <c r="F299" t="inlineStr">
        <is>
          <t>DALARNAS LÄN</t>
        </is>
      </c>
      <c r="G299" t="inlineStr">
        <is>
          <t>AVESTA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45611</v>
      </c>
      <c r="E300" s="1" t="n">
        <v>46324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28090-2022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44746</v>
      </c>
      <c r="E301" s="1" t="n">
        <v>46324</v>
      </c>
      <c r="F301" t="inlineStr">
        <is>
          <t>DALARNAS LÄN</t>
        </is>
      </c>
      <c r="G301" t="inlineStr">
        <is>
          <t>AVESTA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42270-2026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46307</v>
      </c>
      <c r="E302" s="1" t="n">
        <v>46324</v>
      </c>
      <c r="F302" t="inlineStr">
        <is>
          <t>DALARNAS LÄN</t>
        </is>
      </c>
      <c r="G302" t="inlineStr">
        <is>
          <t>AVESTA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14023-2023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46324</v>
      </c>
      <c r="F303" t="inlineStr">
        <is>
          <t>DALARNAS LÄN</t>
        </is>
      </c>
      <c r="G303" t="inlineStr">
        <is>
          <t>AVESTA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63519-2021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44508</v>
      </c>
      <c r="E304" s="1" t="n">
        <v>46324</v>
      </c>
      <c r="F304" t="inlineStr">
        <is>
          <t>DALARNAS LÄN</t>
        </is>
      </c>
      <c r="G304" t="inlineStr">
        <is>
          <t>AVESTA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45162</v>
      </c>
      <c r="E305" s="1" t="n">
        <v>46324</v>
      </c>
      <c r="F305" t="inlineStr">
        <is>
          <t>DALARNAS LÄN</t>
        </is>
      </c>
      <c r="G305" t="inlineStr">
        <is>
          <t>AVESTA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46307</v>
      </c>
      <c r="E306" s="1" t="n">
        <v>46324</v>
      </c>
      <c r="F306" t="inlineStr">
        <is>
          <t>DALARNAS LÄN</t>
        </is>
      </c>
      <c r="G306" t="inlineStr">
        <is>
          <t>AVESTA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46307</v>
      </c>
      <c r="E307" s="1" t="n">
        <v>46324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46324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45684</v>
      </c>
      <c r="E309" s="1" t="n">
        <v>46324</v>
      </c>
      <c r="F309" t="inlineStr">
        <is>
          <t>DALARNAS LÄN</t>
        </is>
      </c>
      <c r="G309" t="inlineStr">
        <is>
          <t>AVESTA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46324</v>
      </c>
      <c r="F310" t="inlineStr">
        <is>
          <t>DALARNAS LÄN</t>
        </is>
      </c>
      <c r="G310" t="inlineStr">
        <is>
          <t>AVESTA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42272-2026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46307</v>
      </c>
      <c r="E311" s="1" t="n">
        <v>46324</v>
      </c>
      <c r="F311" t="inlineStr">
        <is>
          <t>DALARNAS LÄN</t>
        </is>
      </c>
      <c r="G311" t="inlineStr">
        <is>
          <t>AVESTA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50682-2024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45602</v>
      </c>
      <c r="E312" s="1" t="n">
        <v>46324</v>
      </c>
      <c r="F312" t="inlineStr">
        <is>
          <t>DALARNAS LÄN</t>
        </is>
      </c>
      <c r="G312" t="inlineStr">
        <is>
          <t>AVESTA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35659-2026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46265</v>
      </c>
      <c r="E313" s="1" t="n">
        <v>46324</v>
      </c>
      <c r="F313" t="inlineStr">
        <is>
          <t>DALARNAS LÄN</t>
        </is>
      </c>
      <c r="G313" t="inlineStr">
        <is>
          <t>AVESTA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10957-2024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45370</v>
      </c>
      <c r="E314" s="1" t="n">
        <v>46324</v>
      </c>
      <c r="F314" t="inlineStr">
        <is>
          <t>DALARNAS LÄN</t>
        </is>
      </c>
      <c r="G314" t="inlineStr">
        <is>
          <t>AVESTA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42695-2026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46309</v>
      </c>
      <c r="E315" s="1" t="n">
        <v>46324</v>
      </c>
      <c r="F315" t="inlineStr">
        <is>
          <t>DALARNAS LÄN</t>
        </is>
      </c>
      <c r="G315" t="inlineStr">
        <is>
          <t>AVESTA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43069-2026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46311</v>
      </c>
      <c r="E316" s="1" t="n">
        <v>46324</v>
      </c>
      <c r="F316" t="inlineStr">
        <is>
          <t>DALARNAS LÄN</t>
        </is>
      </c>
      <c r="G316" t="inlineStr">
        <is>
          <t>AVESTA</t>
        </is>
      </c>
      <c r="H316" t="inlineStr">
        <is>
          <t>Kommuner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45008</v>
      </c>
      <c r="E317" s="1" t="n">
        <v>46324</v>
      </c>
      <c r="F317" t="inlineStr">
        <is>
          <t>DALARNAS LÄN</t>
        </is>
      </c>
      <c r="G317" t="inlineStr">
        <is>
          <t>AVESTA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45007</v>
      </c>
      <c r="E318" s="1" t="n">
        <v>46324</v>
      </c>
      <c r="F318" t="inlineStr">
        <is>
          <t>DALARNAS LÄN</t>
        </is>
      </c>
      <c r="G318" t="inlineStr">
        <is>
          <t>AVESTA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45505</v>
      </c>
      <c r="E319" s="1" t="n">
        <v>46324</v>
      </c>
      <c r="F319" t="inlineStr">
        <is>
          <t>DALARNAS LÄN</t>
        </is>
      </c>
      <c r="G319" t="inlineStr">
        <is>
          <t>AVESTA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44971</v>
      </c>
      <c r="E320" s="1" t="n">
        <v>46324</v>
      </c>
      <c r="F320" t="inlineStr">
        <is>
          <t>DALARNAS LÄN</t>
        </is>
      </c>
      <c r="G320" t="inlineStr">
        <is>
          <t>AVESTA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45138</v>
      </c>
      <c r="E321" s="1" t="n">
        <v>46324</v>
      </c>
      <c r="F321" t="inlineStr">
        <is>
          <t>DALARNAS LÄN</t>
        </is>
      </c>
      <c r="G321" t="inlineStr">
        <is>
          <t>AVESTA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10566-2025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45721</v>
      </c>
      <c r="E322" s="1" t="n">
        <v>46324</v>
      </c>
      <c r="F322" t="inlineStr">
        <is>
          <t>DALARNAS LÄN</t>
        </is>
      </c>
      <c r="G322" t="inlineStr">
        <is>
          <t>AVESTA</t>
        </is>
      </c>
      <c r="H322" t="inlineStr">
        <is>
          <t>Sveaskog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30738-2024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45496</v>
      </c>
      <c r="E323" s="1" t="n">
        <v>46324</v>
      </c>
      <c r="F323" t="inlineStr">
        <is>
          <t>DALARNAS LÄN</t>
        </is>
      </c>
      <c r="G323" t="inlineStr">
        <is>
          <t>AVESTA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45457</v>
      </c>
      <c r="E324" s="1" t="n">
        <v>46324</v>
      </c>
      <c r="F324" t="inlineStr">
        <is>
          <t>DALARNAS LÄN</t>
        </is>
      </c>
      <c r="G324" t="inlineStr">
        <is>
          <t>AVESTA</t>
        </is>
      </c>
      <c r="I324" t="n">
        <v>9.800000000000001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45321</v>
      </c>
      <c r="E325" s="1" t="n">
        <v>46324</v>
      </c>
      <c r="F325" t="inlineStr">
        <is>
          <t>DALARNAS LÄN</t>
        </is>
      </c>
      <c r="G325" t="inlineStr">
        <is>
          <t>AVESTA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18805-2023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45044</v>
      </c>
      <c r="E326" s="1" t="n">
        <v>46324</v>
      </c>
      <c r="F326" t="inlineStr">
        <is>
          <t>DALARNAS LÄN</t>
        </is>
      </c>
      <c r="G326" t="inlineStr">
        <is>
          <t>AVESTA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46275</v>
      </c>
      <c r="E327" s="1" t="n">
        <v>46324</v>
      </c>
      <c r="F327" t="inlineStr">
        <is>
          <t>DALARNAS LÄN</t>
        </is>
      </c>
      <c r="G327" t="inlineStr">
        <is>
          <t>AVESTA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62566-2023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45269</v>
      </c>
      <c r="E328" s="1" t="n">
        <v>46324</v>
      </c>
      <c r="F328" t="inlineStr">
        <is>
          <t>DALARNAS LÄN</t>
        </is>
      </c>
      <c r="G328" t="inlineStr">
        <is>
          <t>AVESTA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8523-2023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44977</v>
      </c>
      <c r="E329" s="1" t="n">
        <v>46324</v>
      </c>
      <c r="F329" t="inlineStr">
        <is>
          <t>DALARNAS LÄN</t>
        </is>
      </c>
      <c r="G329" t="inlineStr">
        <is>
          <t>AVESTA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56721-2024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45628</v>
      </c>
      <c r="E330" s="1" t="n">
        <v>46324</v>
      </c>
      <c r="F330" t="inlineStr">
        <is>
          <t>DALARNAS LÄN</t>
        </is>
      </c>
      <c r="G330" t="inlineStr">
        <is>
          <t>AVESTA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45007</v>
      </c>
      <c r="E331" s="1" t="n">
        <v>46324</v>
      </c>
      <c r="F331" t="inlineStr">
        <is>
          <t>DALARNAS LÄN</t>
        </is>
      </c>
      <c r="G331" t="inlineStr">
        <is>
          <t>AVESTA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46323</v>
      </c>
      <c r="E332" s="1" t="n">
        <v>46324</v>
      </c>
      <c r="F332" t="inlineStr">
        <is>
          <t>DALARNAS LÄN</t>
        </is>
      </c>
      <c r="G332" t="inlineStr">
        <is>
          <t>AVESTA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12145-2025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45729</v>
      </c>
      <c r="E333" s="1" t="n">
        <v>46324</v>
      </c>
      <c r="F333" t="inlineStr">
        <is>
          <t>DALARNAS LÄN</t>
        </is>
      </c>
      <c r="G333" t="inlineStr">
        <is>
          <t>AVESTA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843-2024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45373</v>
      </c>
      <c r="E334" s="1" t="n">
        <v>46324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396-2022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44585</v>
      </c>
      <c r="E335" s="1" t="n">
        <v>46324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197-2024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45315</v>
      </c>
      <c r="E336" s="1" t="n">
        <v>46324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öst AB</t>
        </is>
      </c>
      <c r="I336" t="n">
        <v>149.1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50-2024</t>
        </is>
      </c>
      <c r="B337" t="inlineStr">
        <is>
          <t>samrådsanmälan</t>
        </is>
      </c>
      <c r="C337" t="inlineStr">
        <is>
          <t>Skogsbilväg</t>
        </is>
      </c>
      <c r="D337" s="1" t="n">
        <v>45296</v>
      </c>
      <c r="E337" s="1" t="n">
        <v>46324</v>
      </c>
      <c r="F337" t="inlineStr">
        <is>
          <t>DALARNAS LÄN</t>
        </is>
      </c>
      <c r="G337" t="inlineStr">
        <is>
          <t>AVESTA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861-2024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45373</v>
      </c>
      <c r="E338" s="1" t="n">
        <v>46324</v>
      </c>
      <c r="F338" t="inlineStr">
        <is>
          <t>DALARNAS LÄN</t>
        </is>
      </c>
      <c r="G338" t="inlineStr">
        <is>
          <t>AVESTA</t>
        </is>
      </c>
      <c r="H338" t="inlineStr">
        <is>
          <t>Bergvik skog väst AB</t>
        </is>
      </c>
      <c r="I338" t="n">
        <v>8.9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2297-2025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45880</v>
      </c>
      <c r="E339" s="1" t="n">
        <v>46324</v>
      </c>
      <c r="F339" t="inlineStr">
        <is>
          <t>DALARNAS LÄN</t>
        </is>
      </c>
      <c r="G339" t="inlineStr">
        <is>
          <t>AVESTA</t>
        </is>
      </c>
      <c r="I339" t="n">
        <v>98.7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595-2026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46085</v>
      </c>
      <c r="E340" s="1" t="n">
        <v>46324</v>
      </c>
      <c r="F340" t="inlineStr">
        <is>
          <t>DALARNAS LÄN</t>
        </is>
      </c>
      <c r="G340" t="inlineStr">
        <is>
          <t>AVESTA</t>
        </is>
      </c>
      <c r="H340" t="inlineStr">
        <is>
          <t>Bergvik skog väst AB</t>
        </is>
      </c>
      <c r="I340" t="n">
        <v>28.9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2026-10-29T03:10:11Z</dcterms:created>
  <dcterms:modified xmlns:dcterms="http://purl.org/dc/terms/" xmlns:xsi="http://www.w3.org/2001/XMLSchema-instance" xsi:type="dcterms:W3CDTF">2026-10-29T03:10:11Z</dcterms:modified>
</cp:coreProperties>
</file>