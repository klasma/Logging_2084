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46300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46300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46300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46300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46300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46300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46300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t="n">
        <v>0</v>
      </c>
      <c r="V8" s="2" t="inlineStr">
        <is>
          <t>Knärot
Grönpyrola
Plattlummer</t>
        </is>
      </c>
      <c r="W8">
        <f>HYPERLINK("https://klasma.github.io/Logging_2084/artfynd/A 60367-2024 artfynd.xlsx", "A 60367-2024")</f>
        <v/>
      </c>
      <c r="X8">
        <f>HYPERLINK("https://klasma.github.io/Logging_2084/kartor/A 60367-2024 karta.png", "A 60367-2024")</f>
        <v/>
      </c>
      <c r="Y8">
        <f>HYPERLINK("https://klasma.github.io/Logging_2084/kartor_geotiff/A 60367-2024 georefererad karta.tif", "A 60367-2024")</f>
        <v/>
      </c>
      <c r="Z8">
        <f>HYPERLINK("https://klasma.github.io/Logging_2084/knärot/A 60367-2024 karta knärot.png", "A 60367-2024")</f>
        <v/>
      </c>
      <c r="AA8">
        <f>HYPERLINK("https://klasma.github.io/Logging_2084/klagomål/A 60367-2024 FSC-klagomål.docx", "A 60367-2024")</f>
        <v/>
      </c>
      <c r="AB8">
        <f>HYPERLINK("https://klasma.github.io/Logging_2084/klagomålsmail/A 60367-2024 FSC-klagomål mail.docx", "A 60367-2024")</f>
        <v/>
      </c>
      <c r="AC8">
        <f>HYPERLINK("https://klasma.github.io/Logging_2084/tillsyn/A 60367-2024 tillsynsbegäran.docx", "A 60367-2024")</f>
        <v/>
      </c>
      <c r="AD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46300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46300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46300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46300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46300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46300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46300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46300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46300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46300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46300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56786-2024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46300</v>
      </c>
      <c r="F20" t="inlineStr">
        <is>
          <t>DALARNAS LÄN</t>
        </is>
      </c>
      <c r="G20" t="inlineStr">
        <is>
          <t>AVESTA</t>
        </is>
      </c>
      <c r="I20" t="n">
        <v>4.7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HYPERLINK("https://klasma.github.io/Logging_2084/artfynd/A 56786-2024 artfynd.xlsx", "A 56786-2024")</f>
        <v/>
      </c>
      <c r="X20">
        <f>HYPERLINK("https://klasma.github.io/Logging_2084/kartor/A 56786-2024 karta.png", "A 56786-2024")</f>
        <v/>
      </c>
      <c r="Y20">
        <f>HYPERLINK("https://klasma.github.io/Logging_2084/kartor_geotiff/A 56786-2024 georefererad karta.tif", "A 56786-2024")</f>
        <v/>
      </c>
      <c r="Z20">
        <f>HYPERLINK("https://klasma.github.io/Logging_2084/knärot/A 56786-2024 karta knärot.png", "A 56786-2024")</f>
        <v/>
      </c>
      <c r="AA20">
        <f>HYPERLINK("https://klasma.github.io/Logging_2084/klagomål/A 56786-2024 FSC-klagomål.docx", "A 56786-2024")</f>
        <v/>
      </c>
      <c r="AB20">
        <f>HYPERLINK("https://klasma.github.io/Logging_2084/klagomålsmail/A 56786-2024 FSC-klagomål mail.docx", "A 56786-2024")</f>
        <v/>
      </c>
      <c r="AC20">
        <f>HYPERLINK("https://klasma.github.io/Logging_2084/tillsyn/A 56786-2024 tillsynsbegäran.docx", "A 56786-2024")</f>
        <v/>
      </c>
      <c r="AD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45995</v>
      </c>
      <c r="E21" s="1" t="n">
        <v>46300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Ullticka</t>
        </is>
      </c>
      <c r="W21">
        <f>HYPERLINK("https://klasma.github.io/Logging_2084/artfynd/A 60446-2025 artfynd.xlsx", "A 60446-2025")</f>
        <v/>
      </c>
      <c r="X21">
        <f>HYPERLINK("https://klasma.github.io/Logging_2084/kartor/A 60446-2025 karta.png", "A 60446-2025")</f>
        <v/>
      </c>
      <c r="Y21">
        <f>HYPERLINK("https://klasma.github.io/Logging_2084/kartor_geotiff/A 60446-2025 georefererad karta.tif", "A 60446-2025")</f>
        <v/>
      </c>
      <c r="AA21">
        <f>HYPERLINK("https://klasma.github.io/Logging_2084/klagomål/A 60446-2025 FSC-klagomål.docx", "A 60446-2025")</f>
        <v/>
      </c>
      <c r="AB21">
        <f>HYPERLINK("https://klasma.github.io/Logging_2084/klagomålsmail/A 60446-2025 FSC-klagomål mail.docx", "A 60446-2025")</f>
        <v/>
      </c>
      <c r="AC21">
        <f>HYPERLINK("https://klasma.github.io/Logging_2084/tillsyn/A 60446-2025 tillsynsbegäran.docx", "A 60446-2025")</f>
        <v/>
      </c>
      <c r="AD21">
        <f>HYPERLINK("https://klasma.github.io/Logging_2084/tillsynsmail/A 60446-2025 tillsynsbegäran mail.docx", "A 60446-2025")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46300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46300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15987-2026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46300</v>
      </c>
      <c r="F24" t="inlineStr">
        <is>
          <t>DALARNAS LÄN</t>
        </is>
      </c>
      <c r="G24" t="inlineStr">
        <is>
          <t>AVESTA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HYPERLINK("https://klasma.github.io/Logging_2084/artfynd/A 15987-2026 artfynd.xlsx", "A 15987-2026")</f>
        <v/>
      </c>
      <c r="X24">
        <f>HYPERLINK("https://klasma.github.io/Logging_2084/kartor/A 15987-2026 karta.png", "A 15987-2026")</f>
        <v/>
      </c>
      <c r="Y24">
        <f>HYPERLINK("https://klasma.github.io/Logging_2084/kartor_geotiff/A 15987-2026 georefererad karta.tif", "A 15987-2026")</f>
        <v/>
      </c>
      <c r="AA24">
        <f>HYPERLINK("https://klasma.github.io/Logging_2084/klagomål/A 15987-2026 FSC-klagomål.docx", "A 15987-2026")</f>
        <v/>
      </c>
      <c r="AB24">
        <f>HYPERLINK("https://klasma.github.io/Logging_2084/klagomålsmail/A 15987-2026 FSC-klagomål mail.docx", "A 15987-2026")</f>
        <v/>
      </c>
      <c r="AC24">
        <f>HYPERLINK("https://klasma.github.io/Logging_2084/tillsyn/A 15987-2026 tillsynsbegäran.docx", "A 15987-2026")</f>
        <v/>
      </c>
      <c r="AD24">
        <f>HYPERLINK("https://klasma.github.io/Logging_2084/tillsynsmail/A 15987-2026 tillsynsbegäran mail.docx", "A 15987-2026")</f>
        <v/>
      </c>
    </row>
    <row r="25" ht="15" customHeight="1">
      <c r="A25" t="inlineStr">
        <is>
          <t>A 10943-2024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45370</v>
      </c>
      <c r="E25" s="1" t="n">
        <v>46300</v>
      </c>
      <c r="F25" t="inlineStr">
        <is>
          <t>DALARNAS LÄN</t>
        </is>
      </c>
      <c r="G25" t="inlineStr">
        <is>
          <t>AVESTA</t>
        </is>
      </c>
      <c r="I25" t="n">
        <v>8.5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HYPERLINK("https://klasma.github.io/Logging_2084/artfynd/A 10943-2024 artfynd.xlsx", "A 10943-2024")</f>
        <v/>
      </c>
      <c r="X25">
        <f>HYPERLINK("https://klasma.github.io/Logging_2084/kartor/A 10943-2024 karta.png", "A 10943-2024")</f>
        <v/>
      </c>
      <c r="Y25">
        <f>HYPERLINK("https://klasma.github.io/Logging_2084/kartor_geotiff/A 10943-2024 georefererad karta.tif", "A 10943-2024")</f>
        <v/>
      </c>
      <c r="AA25">
        <f>HYPERLINK("https://klasma.github.io/Logging_2084/klagomål/A 10943-2024 FSC-klagomål.docx", "A 10943-2024")</f>
        <v/>
      </c>
      <c r="AB25">
        <f>HYPERLINK("https://klasma.github.io/Logging_2084/klagomålsmail/A 10943-2024 FSC-klagomål mail.docx", "A 10943-2024")</f>
        <v/>
      </c>
      <c r="AC25">
        <f>HYPERLINK("https://klasma.github.io/Logging_2084/tillsyn/A 10943-2024 tillsynsbegäran.docx", "A 10943-2024")</f>
        <v/>
      </c>
      <c r="AD25">
        <f>HYPERLINK("https://klasma.github.io/Logging_2084/tillsynsmail/A 10943-2024 tillsynsbegäran mail.docx", "A 10943-2024")</f>
        <v/>
      </c>
      <c r="AE25">
        <f>HYPERLINK("https://klasma.github.io/Logging_2084/fåglar/A 10943-2024 prioriterade fågelarter.docx", "A 10943-2024")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46300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46300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17913-2025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45758</v>
      </c>
      <c r="E28" s="1" t="n">
        <v>46300</v>
      </c>
      <c r="F28" t="inlineStr">
        <is>
          <t>DALARNAS LÄN</t>
        </is>
      </c>
      <c r="G28" t="inlineStr">
        <is>
          <t>AVESTA</t>
        </is>
      </c>
      <c r="I28" t="n">
        <v>10.2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7</v>
      </c>
      <c r="U28" t="n">
        <v>7</v>
      </c>
      <c r="V28" s="2" t="inlineStr">
        <is>
          <t>Knärot</t>
        </is>
      </c>
      <c r="W28">
        <f>HYPERLINK("https://klasma.github.io/Logging_2084/artfynd/A 17913-2025 artfynd.xlsx", "A 17913-2025")</f>
        <v/>
      </c>
      <c r="X28">
        <f>HYPERLINK("https://klasma.github.io/Logging_2084/kartor/A 17913-2025 karta.png", "A 17913-2025")</f>
        <v/>
      </c>
      <c r="Y28">
        <f>HYPERLINK("https://klasma.github.io/Logging_2084/kartor_geotiff/A 17913-2025 georefererad karta.tif", "A 17913-2025")</f>
        <v/>
      </c>
      <c r="Z28">
        <f>HYPERLINK("https://klasma.github.io/Logging_2084/knärot/A 17913-2025 karta knärot.png", "A 17913-2025")</f>
        <v/>
      </c>
      <c r="AA28">
        <f>HYPERLINK("https://klasma.github.io/Logging_2084/klagomål/A 17913-2025 FSC-klagomål.docx", "A 17913-2025")</f>
        <v/>
      </c>
      <c r="AB28">
        <f>HYPERLINK("https://klasma.github.io/Logging_2084/klagomålsmail/A 17913-2025 FSC-klagomål mail.docx", "A 17913-2025")</f>
        <v/>
      </c>
      <c r="AC28">
        <f>HYPERLINK("https://klasma.github.io/Logging_2084/tillsyn/A 17913-2025 tillsynsbegäran.docx", "A 17913-2025")</f>
        <v/>
      </c>
      <c r="AD28">
        <f>HYPERLINK("https://klasma.github.io/Logging_2084/tillsynsmail/A 17913-2025 tillsynsbegäran mail.docx", "A 17913-2025")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46300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46300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43508-2024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46300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3.8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43508-2024 artfynd.xlsx", "A 43508-2024")</f>
        <v/>
      </c>
      <c r="X31">
        <f>HYPERLINK("https://klasma.github.io/Logging_2084/kartor/A 43508-2024 karta.png", "A 43508-2024")</f>
        <v/>
      </c>
      <c r="Y31">
        <f>HYPERLINK("https://klasma.github.io/Logging_2084/kartor_geotiff/A 43508-2024 georefererad karta.tif", "A 43508-2024")</f>
        <v/>
      </c>
      <c r="AA31">
        <f>HYPERLINK("https://klasma.github.io/Logging_2084/klagomål/A 43508-2024 FSC-klagomål.docx", "A 43508-2024")</f>
        <v/>
      </c>
      <c r="AB31">
        <f>HYPERLINK("https://klasma.github.io/Logging_2084/klagomålsmail/A 43508-2024 FSC-klagomål mail.docx", "A 43508-2024")</f>
        <v/>
      </c>
      <c r="AC31">
        <f>HYPERLINK("https://klasma.github.io/Logging_2084/tillsyn/A 43508-2024 tillsynsbegäran.docx", "A 43508-2024")</f>
        <v/>
      </c>
      <c r="AD31">
        <f>HYPERLINK("https://klasma.github.io/Logging_2084/tillsynsmail/A 43508-2024 tillsynsbegäran mail.docx", "A 43508-2024")</f>
        <v/>
      </c>
    </row>
    <row r="32" ht="15" customHeight="1">
      <c r="A32" t="inlineStr">
        <is>
          <t>A 44853-2023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46300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Knytlingsäckmal</t>
        </is>
      </c>
      <c r="W32">
        <f>HYPERLINK("https://klasma.github.io/Logging_2084/artfynd/A 44853-2023 artfynd.xlsx", "A 44853-2023")</f>
        <v/>
      </c>
      <c r="X32">
        <f>HYPERLINK("https://klasma.github.io/Logging_2084/kartor/A 44853-2023 karta.png", "A 44853-2023")</f>
        <v/>
      </c>
      <c r="Y32">
        <f>HYPERLINK("https://klasma.github.io/Logging_2084/kartor_geotiff/A 44853-2023 georefererad karta.tif", "A 44853-2023")</f>
        <v/>
      </c>
      <c r="AA32">
        <f>HYPERLINK("https://klasma.github.io/Logging_2084/klagomål/A 44853-2023 FSC-klagomål.docx", "A 44853-2023")</f>
        <v/>
      </c>
      <c r="AB32">
        <f>HYPERLINK("https://klasma.github.io/Logging_2084/klagomålsmail/A 44853-2023 FSC-klagomål mail.docx", "A 44853-2023")</f>
        <v/>
      </c>
      <c r="AC32">
        <f>HYPERLINK("https://klasma.github.io/Logging_2084/tillsyn/A 44853-2023 tillsynsbegäran.docx", "A 44853-2023")</f>
        <v/>
      </c>
      <c r="AD32">
        <f>HYPERLINK("https://klasma.github.io/Logging_2084/tillsynsmail/A 44853-2023 tillsynsbegäran mail.docx", "A 44853-2023")</f>
        <v/>
      </c>
    </row>
    <row r="33" ht="15" customHeight="1">
      <c r="A33" t="inlineStr">
        <is>
          <t>A 21412-2023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46300</v>
      </c>
      <c r="F33" t="inlineStr">
        <is>
          <t>DALARNAS LÄN</t>
        </is>
      </c>
      <c r="G33" t="inlineStr">
        <is>
          <t>AVESTA</t>
        </is>
      </c>
      <c r="H33" t="inlineStr">
        <is>
          <t>Bergvik skog väst AB</t>
        </is>
      </c>
      <c r="I33" t="n">
        <v>3.4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Nattviol</t>
        </is>
      </c>
      <c r="W33">
        <f>HYPERLINK("https://klasma.github.io/Logging_2084/artfynd/A 21412-2023 artfynd.xlsx", "A 21412-2023")</f>
        <v/>
      </c>
      <c r="X33">
        <f>HYPERLINK("https://klasma.github.io/Logging_2084/kartor/A 21412-2023 karta.png", "A 21412-2023")</f>
        <v/>
      </c>
      <c r="Y33">
        <f>HYPERLINK("https://klasma.github.io/Logging_2084/kartor_geotiff/A 21412-2023 georefererad karta.tif", "A 21412-2023")</f>
        <v/>
      </c>
      <c r="AA33">
        <f>HYPERLINK("https://klasma.github.io/Logging_2084/klagomål/A 21412-2023 FSC-klagomål.docx", "A 21412-2023")</f>
        <v/>
      </c>
      <c r="AB33">
        <f>HYPERLINK("https://klasma.github.io/Logging_2084/klagomålsmail/A 21412-2023 FSC-klagomål mail.docx", "A 21412-2023")</f>
        <v/>
      </c>
      <c r="AC33">
        <f>HYPERLINK("https://klasma.github.io/Logging_2084/tillsyn/A 21412-2023 tillsynsbegäran.docx", "A 21412-2023")</f>
        <v/>
      </c>
      <c r="AD33">
        <f>HYPERLINK("https://klasma.github.io/Logging_2084/tillsynsmail/A 21412-2023 tillsynsbegäran mail.docx", "A 21412-2023")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46300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46300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A 1993-2026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46035</v>
      </c>
      <c r="E36" s="1" t="n">
        <v>46300</v>
      </c>
      <c r="F36" t="inlineStr">
        <is>
          <t>DALARNAS LÄN</t>
        </is>
      </c>
      <c r="G36" t="inlineStr">
        <is>
          <t>AVESTA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HYPERLINK("https://klasma.github.io/Logging_2084/artfynd/A 1993-2026 artfynd.xlsx", "A 1993-2026")</f>
        <v/>
      </c>
      <c r="X36">
        <f>HYPERLINK("https://klasma.github.io/Logging_2084/kartor/A 1993-2026 karta.png", "A 1993-2026")</f>
        <v/>
      </c>
      <c r="Y36">
        <f>HYPERLINK("https://klasma.github.io/Logging_2084/kartor_geotiff/A 1993-2026 georefererad karta.tif", "A 1993-2026")</f>
        <v/>
      </c>
      <c r="AA36">
        <f>HYPERLINK("https://klasma.github.io/Logging_2084/klagomål/A 1993-2026 FSC-klagomål.docx", "A 1993-2026")</f>
        <v/>
      </c>
      <c r="AB36">
        <f>HYPERLINK("https://klasma.github.io/Logging_2084/klagomålsmail/A 1993-2026 FSC-klagomål mail.docx", "A 1993-2026")</f>
        <v/>
      </c>
      <c r="AC36">
        <f>HYPERLINK("https://klasma.github.io/Logging_2084/tillsyn/A 1993-2026 tillsynsbegäran.docx", "A 1993-2026")</f>
        <v/>
      </c>
      <c r="AD36">
        <f>HYPERLINK("https://klasma.github.io/Logging_2084/tillsynsmail/A 1993-2026 tillsynsbegäran mail.docx", "A 1993-2026")</f>
        <v/>
      </c>
    </row>
    <row r="37" ht="15" customHeight="1">
      <c r="A37" t="inlineStr">
        <is>
          <t>A 1695-2022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44574</v>
      </c>
      <c r="E37" s="1" t="n">
        <v>46300</v>
      </c>
      <c r="F37" t="inlineStr">
        <is>
          <t>DALARNAS LÄN</t>
        </is>
      </c>
      <c r="G37" t="inlineStr">
        <is>
          <t>AVESTA</t>
        </is>
      </c>
      <c r="I37" t="n">
        <v>6.5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27</v>
      </c>
      <c r="U37" t="n">
        <v>27</v>
      </c>
      <c r="V37" s="2" t="inlineStr">
        <is>
          <t>Knärot</t>
        </is>
      </c>
      <c r="W37">
        <f>HYPERLINK("https://klasma.github.io/Logging_2084/artfynd/A 1695-2022 artfynd.xlsx", "A 1695-2022")</f>
        <v/>
      </c>
      <c r="X37">
        <f>HYPERLINK("https://klasma.github.io/Logging_2084/kartor/A 1695-2022 karta.png", "A 1695-2022")</f>
        <v/>
      </c>
      <c r="Y37">
        <f>HYPERLINK("https://klasma.github.io/Logging_2084/kartor_geotiff/A 1695-2022 georefererad karta.tif", "A 1695-2022")</f>
        <v/>
      </c>
      <c r="Z37">
        <f>HYPERLINK("https://klasma.github.io/Logging_2084/knärot/A 1695-2022 karta knärot.png", "A 1695-2022")</f>
        <v/>
      </c>
      <c r="AA37">
        <f>HYPERLINK("https://klasma.github.io/Logging_2084/klagomål/A 1695-2022 FSC-klagomål.docx", "A 1695-2022")</f>
        <v/>
      </c>
      <c r="AB37">
        <f>HYPERLINK("https://klasma.github.io/Logging_2084/klagomålsmail/A 1695-2022 FSC-klagomål mail.docx", "A 1695-2022")</f>
        <v/>
      </c>
      <c r="AC37">
        <f>HYPERLINK("https://klasma.github.io/Logging_2084/tillsyn/A 1695-2022 tillsynsbegäran.docx", "A 1695-2022")</f>
        <v/>
      </c>
      <c r="AD37">
        <f>HYPERLINK("https://klasma.github.io/Logging_2084/tillsynsmail/A 1695-2022 tillsynsbegäran mail.docx", "A 1695-2022")</f>
        <v/>
      </c>
    </row>
    <row r="38" ht="15" customHeight="1">
      <c r="A38" t="inlineStr">
        <is>
          <t>S 2942-2025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45952</v>
      </c>
      <c r="E38" s="1" t="n">
        <v>46300</v>
      </c>
      <c r="F38" t="inlineStr">
        <is>
          <t>DALARNAS LÄN</t>
        </is>
      </c>
      <c r="G38" t="inlineStr">
        <is>
          <t>AVESTA</t>
        </is>
      </c>
      <c r="I38" t="n">
        <v>12.3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HYPERLINK("https://klasma.github.io/Logging_2084/artfynd/S 2942-2025 artfynd.xlsx", "S 2942-2025")</f>
        <v/>
      </c>
      <c r="X38">
        <f>HYPERLINK("https://klasma.github.io/Logging_2084/kartor/S 2942-2025 karta.png", "S 2942-2025")</f>
        <v/>
      </c>
      <c r="Y38">
        <f>HYPERLINK("https://klasma.github.io/Logging_2084/kartor_geotiff/S 2942-2025 georefererad karta.tif", "S 2942-2025")</f>
        <v/>
      </c>
      <c r="AA38">
        <f>HYPERLINK("https://klasma.github.io/Logging_2084/klagomål/S 2942-2025 FSC-klagomål.docx", "S 2942-2025")</f>
        <v/>
      </c>
      <c r="AB38">
        <f>HYPERLINK("https://klasma.github.io/Logging_2084/klagomålsmail/S 2942-2025 FSC-klagomål mail.docx", "S 2942-2025")</f>
        <v/>
      </c>
      <c r="AC38">
        <f>HYPERLINK("https://klasma.github.io/Logging_2084/tillsyn/S 2942-2025 tillsynsbegäran.docx", "S 2942-2025")</f>
        <v/>
      </c>
      <c r="AD38">
        <f>HYPERLINK("https://klasma.github.io/Logging_2084/tillsynsmail/S 2942-2025 tillsynsbegäran mail.docx", "S 2942-2025")</f>
        <v/>
      </c>
      <c r="AE38">
        <f>HYPERLINK("https://klasma.github.io/Logging_2084/fåglar/S 2942-2025 prioriterade fågelarter.docx", "S 2942-2025")</f>
        <v/>
      </c>
    </row>
    <row r="39" ht="15" customHeight="1">
      <c r="A39" t="inlineStr">
        <is>
          <t>S 3402-2025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45995</v>
      </c>
      <c r="E39" s="1" t="n">
        <v>46300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HYPERLINK("https://klasma.github.io/Logging_2084/artfynd/S 3402-2025 artfynd.xlsx", "S 3402-2025")</f>
        <v/>
      </c>
      <c r="X39">
        <f>HYPERLINK("https://klasma.github.io/Logging_2084/kartor/S 3402-2025 karta.png", "S 3402-2025")</f>
        <v/>
      </c>
      <c r="Y39">
        <f>HYPERLINK("https://klasma.github.io/Logging_2084/kartor_geotiff/S 3402-2025 georefererad karta.tif", "S 3402-2025")</f>
        <v/>
      </c>
      <c r="AA39">
        <f>HYPERLINK("https://klasma.github.io/Logging_2084/klagomål/S 3402-2025 FSC-klagomål.docx", "S 3402-2025")</f>
        <v/>
      </c>
      <c r="AB39">
        <f>HYPERLINK("https://klasma.github.io/Logging_2084/klagomålsmail/S 3402-2025 FSC-klagomål mail.docx", "S 3402-2025")</f>
        <v/>
      </c>
      <c r="AC39">
        <f>HYPERLINK("https://klasma.github.io/Logging_2084/tillsyn/S 3402-2025 tillsynsbegäran.docx", "S 3402-2025")</f>
        <v/>
      </c>
      <c r="AD39">
        <f>HYPERLINK("https://klasma.github.io/Logging_2084/tillsynsmail/S 3402-2025 tillsynsbegäran mail.docx", "S 3402-2025")</f>
        <v/>
      </c>
    </row>
    <row r="40" ht="15" customHeight="1">
      <c r="A40" t="inlineStr">
        <is>
          <t>S 281-2026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46056</v>
      </c>
      <c r="E40" s="1" t="n">
        <v>46300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24.4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HYPERLINK("https://klasma.github.io/Logging_2084/artfynd/S 281-2026 artfynd.xlsx", "S 281-2026")</f>
        <v/>
      </c>
      <c r="X40">
        <f>HYPERLINK("https://klasma.github.io/Logging_2084/kartor/S 281-2026 karta.png", "S 281-2026")</f>
        <v/>
      </c>
      <c r="Y40">
        <f>HYPERLINK("https://klasma.github.io/Logging_2084/kartor_geotiff/S 281-2026 georefererad karta.tif", "S 281-2026")</f>
        <v/>
      </c>
      <c r="AA40">
        <f>HYPERLINK("https://klasma.github.io/Logging_2084/klagomål/S 281-2026 FSC-klagomål.docx", "S 281-2026")</f>
        <v/>
      </c>
      <c r="AB40">
        <f>HYPERLINK("https://klasma.github.io/Logging_2084/klagomålsmail/S 281-2026 FSC-klagomål mail.docx", "S 281-2026")</f>
        <v/>
      </c>
      <c r="AC40">
        <f>HYPERLINK("https://klasma.github.io/Logging_2084/tillsyn/S 281-2026 tillsynsbegäran.docx", "S 281-2026")</f>
        <v/>
      </c>
      <c r="AD40">
        <f>HYPERLINK("https://klasma.github.io/Logging_2084/tillsynsmail/S 281-2026 tillsynsbegäran mail.docx", "S 281-2026")</f>
        <v/>
      </c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46300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46300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46300</v>
      </c>
      <c r="F43" t="inlineStr">
        <is>
          <t>DALARNAS LÄN</t>
        </is>
      </c>
      <c r="G43" t="inlineStr">
        <is>
          <t>AVESTA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46300</v>
      </c>
      <c r="F44" t="inlineStr">
        <is>
          <t>DALARNAS LÄN</t>
        </is>
      </c>
      <c r="G44" t="inlineStr">
        <is>
          <t>AVESTA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46300</v>
      </c>
      <c r="F45" t="inlineStr">
        <is>
          <t>DALARNAS LÄN</t>
        </is>
      </c>
      <c r="G45" t="inlineStr">
        <is>
          <t>AVESTA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46300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46300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46300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46300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46300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46300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44963</v>
      </c>
      <c r="E52" s="1" t="n">
        <v>46300</v>
      </c>
      <c r="F52" t="inlineStr">
        <is>
          <t>DALARNAS LÄN</t>
        </is>
      </c>
      <c r="G52" t="inlineStr">
        <is>
          <t>AVESTA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46300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46300</v>
      </c>
      <c r="F54" t="inlineStr">
        <is>
          <t>DALARNAS LÄN</t>
        </is>
      </c>
      <c r="G54" t="inlineStr">
        <is>
          <t>AVESTA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46300</v>
      </c>
      <c r="F55" t="inlineStr">
        <is>
          <t>DALARNAS LÄN</t>
        </is>
      </c>
      <c r="G55" t="inlineStr">
        <is>
          <t>AVESTA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46300</v>
      </c>
      <c r="F56" t="inlineStr">
        <is>
          <t>DALARNAS LÄN</t>
        </is>
      </c>
      <c r="G56" t="inlineStr">
        <is>
          <t>AVESTA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46300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46300</v>
      </c>
      <c r="F58" t="inlineStr">
        <is>
          <t>DALARNAS LÄN</t>
        </is>
      </c>
      <c r="G58" t="inlineStr">
        <is>
          <t>AVESTA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46300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45123</v>
      </c>
      <c r="E60" s="1" t="n">
        <v>46300</v>
      </c>
      <c r="F60" t="inlineStr">
        <is>
          <t>DALARNAS LÄN</t>
        </is>
      </c>
      <c r="G60" t="inlineStr">
        <is>
          <t>AVESTA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46300</v>
      </c>
      <c r="F61" t="inlineStr">
        <is>
          <t>DALARNAS LÄN</t>
        </is>
      </c>
      <c r="G61" t="inlineStr">
        <is>
          <t>AVESTA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46300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64561-2023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46300</v>
      </c>
      <c r="F63" t="inlineStr">
        <is>
          <t>DALARNAS LÄN</t>
        </is>
      </c>
      <c r="G63" t="inlineStr">
        <is>
          <t>AVESTA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45019</v>
      </c>
      <c r="E64" s="1" t="n">
        <v>46300</v>
      </c>
      <c r="F64" t="inlineStr">
        <is>
          <t>DALARNAS LÄN</t>
        </is>
      </c>
      <c r="G64" t="inlineStr">
        <is>
          <t>AVESTA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46300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46300</v>
      </c>
      <c r="F66" t="inlineStr">
        <is>
          <t>DALARNAS LÄN</t>
        </is>
      </c>
      <c r="G66" t="inlineStr">
        <is>
          <t>AVESTA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46300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46300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46300</v>
      </c>
      <c r="F69" t="inlineStr">
        <is>
          <t>DALARNAS LÄN</t>
        </is>
      </c>
      <c r="G69" t="inlineStr">
        <is>
          <t>AVESTA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46300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45316</v>
      </c>
      <c r="E71" s="1" t="n">
        <v>46300</v>
      </c>
      <c r="F71" t="inlineStr">
        <is>
          <t>DALARNAS LÄN</t>
        </is>
      </c>
      <c r="G71" t="inlineStr">
        <is>
          <t>AVESTA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46300</v>
      </c>
      <c r="F72" t="inlineStr">
        <is>
          <t>DALARNAS LÄN</t>
        </is>
      </c>
      <c r="G72" t="inlineStr">
        <is>
          <t>AVESTA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46300</v>
      </c>
      <c r="F73" t="inlineStr">
        <is>
          <t>DALARNAS LÄN</t>
        </is>
      </c>
      <c r="G73" t="inlineStr">
        <is>
          <t>AVESTA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46300</v>
      </c>
      <c r="F74" t="inlineStr">
        <is>
          <t>DALARNAS LÄN</t>
        </is>
      </c>
      <c r="G74" t="inlineStr">
        <is>
          <t>AVESTA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46300</v>
      </c>
      <c r="F75" t="inlineStr">
        <is>
          <t>DALARNAS LÄN</t>
        </is>
      </c>
      <c r="G75" t="inlineStr">
        <is>
          <t>AVESTA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46300</v>
      </c>
      <c r="F76" t="inlineStr">
        <is>
          <t>DALARNAS LÄN</t>
        </is>
      </c>
      <c r="G76" t="inlineStr">
        <is>
          <t>AVESTA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46300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44684</v>
      </c>
      <c r="E78" s="1" t="n">
        <v>46300</v>
      </c>
      <c r="F78" t="inlineStr">
        <is>
          <t>DALARNAS LÄN</t>
        </is>
      </c>
      <c r="G78" t="inlineStr">
        <is>
          <t>AVESTA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46300</v>
      </c>
      <c r="F79" t="inlineStr">
        <is>
          <t>DALARNAS LÄN</t>
        </is>
      </c>
      <c r="G79" t="inlineStr">
        <is>
          <t>AVESTA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42072-2025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46300</v>
      </c>
      <c r="F80" t="inlineStr">
        <is>
          <t>DALARNAS LÄN</t>
        </is>
      </c>
      <c r="G80" t="inlineStr">
        <is>
          <t>AVESTA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46021</v>
      </c>
      <c r="E81" s="1" t="n">
        <v>46300</v>
      </c>
      <c r="F81" t="inlineStr">
        <is>
          <t>DALARNAS LÄN</t>
        </is>
      </c>
      <c r="G81" t="inlineStr">
        <is>
          <t>AVESTA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46300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45598</v>
      </c>
      <c r="E83" s="1" t="n">
        <v>46300</v>
      </c>
      <c r="F83" t="inlineStr">
        <is>
          <t>DALARNAS LÄN</t>
        </is>
      </c>
      <c r="G83" t="inlineStr">
        <is>
          <t>AVESTA</t>
        </is>
      </c>
      <c r="H83" t="inlineStr">
        <is>
          <t>Sveaskog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45598</v>
      </c>
      <c r="E84" s="1" t="n">
        <v>46300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46300</v>
      </c>
      <c r="F85" t="inlineStr">
        <is>
          <t>DALARNAS LÄN</t>
        </is>
      </c>
      <c r="G85" t="inlineStr">
        <is>
          <t>AVESTA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46300</v>
      </c>
      <c r="F86" t="inlineStr">
        <is>
          <t>DALARNAS LÄN</t>
        </is>
      </c>
      <c r="G86" t="inlineStr">
        <is>
          <t>AVESTA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46300</v>
      </c>
      <c r="F87" t="inlineStr">
        <is>
          <t>DALARNAS LÄN</t>
        </is>
      </c>
      <c r="G87" t="inlineStr">
        <is>
          <t>AVESTA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46300</v>
      </c>
      <c r="F88" t="inlineStr">
        <is>
          <t>DALARNAS LÄN</t>
        </is>
      </c>
      <c r="G88" t="inlineStr">
        <is>
          <t>AVESTA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43172-2025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45910</v>
      </c>
      <c r="E89" s="1" t="n">
        <v>46300</v>
      </c>
      <c r="F89" t="inlineStr">
        <is>
          <t>DALARNAS LÄN</t>
        </is>
      </c>
      <c r="G89" t="inlineStr">
        <is>
          <t>AVESTA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45911</v>
      </c>
      <c r="E90" s="1" t="n">
        <v>46300</v>
      </c>
      <c r="F90" t="inlineStr">
        <is>
          <t>DALARNAS LÄN</t>
        </is>
      </c>
      <c r="G90" t="inlineStr">
        <is>
          <t>AVESTA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4901-2026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46300</v>
      </c>
      <c r="F91" t="inlineStr">
        <is>
          <t>DALARNAS LÄN</t>
        </is>
      </c>
      <c r="G91" t="inlineStr">
        <is>
          <t>AVESTA</t>
        </is>
      </c>
      <c r="H91" t="inlineStr">
        <is>
          <t>Bergvik skog väst AB</t>
        </is>
      </c>
      <c r="I91" t="n">
        <v>12.1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46300</v>
      </c>
      <c r="F92" t="inlineStr">
        <is>
          <t>DALARNAS LÄN</t>
        </is>
      </c>
      <c r="G92" t="inlineStr">
        <is>
          <t>AVESTA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46300</v>
      </c>
      <c r="F93" t="inlineStr">
        <is>
          <t>DALARNAS LÄN</t>
        </is>
      </c>
      <c r="G93" t="inlineStr">
        <is>
          <t>AVESTA</t>
        </is>
      </c>
      <c r="I93" t="n">
        <v>13.7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55384-2023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46300</v>
      </c>
      <c r="F94" t="inlineStr">
        <is>
          <t>DALARNAS LÄN</t>
        </is>
      </c>
      <c r="G94" t="inlineStr">
        <is>
          <t>AVESTA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46300</v>
      </c>
      <c r="F95" t="inlineStr">
        <is>
          <t>DALARNAS LÄN</t>
        </is>
      </c>
      <c r="G95" t="inlineStr">
        <is>
          <t>AVESTA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46300</v>
      </c>
      <c r="F96" t="inlineStr">
        <is>
          <t>DALARNAS LÄN</t>
        </is>
      </c>
      <c r="G96" t="inlineStr">
        <is>
          <t>AVESTA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45796</v>
      </c>
      <c r="E97" s="1" t="n">
        <v>46300</v>
      </c>
      <c r="F97" t="inlineStr">
        <is>
          <t>DALARNAS LÄN</t>
        </is>
      </c>
      <c r="G97" t="inlineStr">
        <is>
          <t>AVESTA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46300</v>
      </c>
      <c r="F98" t="inlineStr">
        <is>
          <t>DALARNAS LÄN</t>
        </is>
      </c>
      <c r="G98" t="inlineStr">
        <is>
          <t>AVESTA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45269</v>
      </c>
      <c r="E99" s="1" t="n">
        <v>46300</v>
      </c>
      <c r="F99" t="inlineStr">
        <is>
          <t>DALARNAS LÄN</t>
        </is>
      </c>
      <c r="G99" t="inlineStr">
        <is>
          <t>AVESTA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5023-2026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46300</v>
      </c>
      <c r="F100" t="inlineStr">
        <is>
          <t>DALARNAS LÄN</t>
        </is>
      </c>
      <c r="G100" t="inlineStr">
        <is>
          <t>AVESTA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46300</v>
      </c>
      <c r="F101" t="inlineStr">
        <is>
          <t>DALARNAS LÄN</t>
        </is>
      </c>
      <c r="G101" t="inlineStr">
        <is>
          <t>AVESTA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62093-2024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45656</v>
      </c>
      <c r="E102" s="1" t="n">
        <v>46300</v>
      </c>
      <c r="F102" t="inlineStr">
        <is>
          <t>DALARNAS LÄN</t>
        </is>
      </c>
      <c r="G102" t="inlineStr">
        <is>
          <t>AVESTA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45505</v>
      </c>
      <c r="E103" s="1" t="n">
        <v>46300</v>
      </c>
      <c r="F103" t="inlineStr">
        <is>
          <t>DALARNAS LÄN</t>
        </is>
      </c>
      <c r="G103" t="inlineStr">
        <is>
          <t>AVESTA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24834-2025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45799</v>
      </c>
      <c r="E104" s="1" t="n">
        <v>46300</v>
      </c>
      <c r="F104" t="inlineStr">
        <is>
          <t>DALARNAS LÄN</t>
        </is>
      </c>
      <c r="G104" t="inlineStr">
        <is>
          <t>AVESTA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46300</v>
      </c>
      <c r="F105" t="inlineStr">
        <is>
          <t>DALARNAS LÄN</t>
        </is>
      </c>
      <c r="G105" t="inlineStr">
        <is>
          <t>AVESTA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46300</v>
      </c>
      <c r="F106" t="inlineStr">
        <is>
          <t>DALARNAS LÄN</t>
        </is>
      </c>
      <c r="G106" t="inlineStr">
        <is>
          <t>AVESTA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46300</v>
      </c>
      <c r="F107" t="inlineStr">
        <is>
          <t>DALARNAS LÄN</t>
        </is>
      </c>
      <c r="G107" t="inlineStr">
        <is>
          <t>AVESTA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46300</v>
      </c>
      <c r="F108" t="inlineStr">
        <is>
          <t>DALARNAS LÄN</t>
        </is>
      </c>
      <c r="G108" t="inlineStr">
        <is>
          <t>AVESTA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46300</v>
      </c>
      <c r="F109" t="inlineStr">
        <is>
          <t>DALARNAS LÄN</t>
        </is>
      </c>
      <c r="G109" t="inlineStr">
        <is>
          <t>AVESTA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46300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46300</v>
      </c>
      <c r="F111" t="inlineStr">
        <is>
          <t>DALARNAS LÄN</t>
        </is>
      </c>
      <c r="G111" t="inlineStr">
        <is>
          <t>AVESTA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46300</v>
      </c>
      <c r="F112" t="inlineStr">
        <is>
          <t>DALARNAS LÄN</t>
        </is>
      </c>
      <c r="G112" t="inlineStr">
        <is>
          <t>AVESTA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46300</v>
      </c>
      <c r="F113" t="inlineStr">
        <is>
          <t>DALARNAS LÄN</t>
        </is>
      </c>
      <c r="G113" t="inlineStr">
        <is>
          <t>AVESTA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16522-2025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45751</v>
      </c>
      <c r="E114" s="1" t="n">
        <v>46300</v>
      </c>
      <c r="F114" t="inlineStr">
        <is>
          <t>DALARNAS LÄN</t>
        </is>
      </c>
      <c r="G114" t="inlineStr">
        <is>
          <t>AVESTA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46300</v>
      </c>
      <c r="F115" t="inlineStr">
        <is>
          <t>DALARNAS LÄN</t>
        </is>
      </c>
      <c r="G115" t="inlineStr">
        <is>
          <t>AVESTA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46300</v>
      </c>
      <c r="F116" t="inlineStr">
        <is>
          <t>DALARNAS LÄN</t>
        </is>
      </c>
      <c r="G116" t="inlineStr">
        <is>
          <t>AVESTA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46300</v>
      </c>
      <c r="F117" t="inlineStr">
        <is>
          <t>DALARNAS LÄN</t>
        </is>
      </c>
      <c r="G117" t="inlineStr">
        <is>
          <t>AVESTA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46300</v>
      </c>
      <c r="F118" t="inlineStr">
        <is>
          <t>DALARNAS LÄN</t>
        </is>
      </c>
      <c r="G118" t="inlineStr">
        <is>
          <t>AVESTA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45499</v>
      </c>
      <c r="E119" s="1" t="n">
        <v>46300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46300</v>
      </c>
      <c r="F120" t="inlineStr">
        <is>
          <t>DALARNAS LÄN</t>
        </is>
      </c>
      <c r="G120" t="inlineStr">
        <is>
          <t>AVESTA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46300</v>
      </c>
      <c r="F121" t="inlineStr">
        <is>
          <t>DALARNAS LÄN</t>
        </is>
      </c>
      <c r="G121" t="inlineStr">
        <is>
          <t>AVESTA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46300</v>
      </c>
      <c r="F122" t="inlineStr">
        <is>
          <t>DALARNAS LÄN</t>
        </is>
      </c>
      <c r="G122" t="inlineStr">
        <is>
          <t>AVESTA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46300</v>
      </c>
      <c r="F123" t="inlineStr">
        <is>
          <t>DALARNAS LÄN</t>
        </is>
      </c>
      <c r="G123" t="inlineStr">
        <is>
          <t>AVESTA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46300</v>
      </c>
      <c r="F124" t="inlineStr">
        <is>
          <t>DALARNAS LÄN</t>
        </is>
      </c>
      <c r="G124" t="inlineStr">
        <is>
          <t>AVESTA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46300</v>
      </c>
      <c r="F125" t="inlineStr">
        <is>
          <t>DALARNAS LÄN</t>
        </is>
      </c>
      <c r="G125" t="inlineStr">
        <is>
          <t>AVESTA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46300</v>
      </c>
      <c r="F126" t="inlineStr">
        <is>
          <t>DALARNAS LÄN</t>
        </is>
      </c>
      <c r="G126" t="inlineStr">
        <is>
          <t>AVESTA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7617-2024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46300</v>
      </c>
      <c r="F127" t="inlineStr">
        <is>
          <t>DALARNAS LÄN</t>
        </is>
      </c>
      <c r="G127" t="inlineStr">
        <is>
          <t>AVESTA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45943</v>
      </c>
      <c r="E128" s="1" t="n">
        <v>46300</v>
      </c>
      <c r="F128" t="inlineStr">
        <is>
          <t>DALARNAS LÄN</t>
        </is>
      </c>
      <c r="G128" t="inlineStr">
        <is>
          <t>AVESTA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45902</v>
      </c>
      <c r="E129" s="1" t="n">
        <v>46300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46300</v>
      </c>
      <c r="F130" t="inlineStr">
        <is>
          <t>DALARNAS LÄN</t>
        </is>
      </c>
      <c r="G130" t="inlineStr">
        <is>
          <t>AVESTA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45948</v>
      </c>
      <c r="E131" s="1" t="n">
        <v>46300</v>
      </c>
      <c r="F131" t="inlineStr">
        <is>
          <t>DALARNAS LÄN</t>
        </is>
      </c>
      <c r="G131" t="inlineStr">
        <is>
          <t>AVESTA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45948</v>
      </c>
      <c r="E132" s="1" t="n">
        <v>46300</v>
      </c>
      <c r="F132" t="inlineStr">
        <is>
          <t>DALARNAS LÄN</t>
        </is>
      </c>
      <c r="G132" t="inlineStr">
        <is>
          <t>AVESTA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45951</v>
      </c>
      <c r="E133" s="1" t="n">
        <v>46300</v>
      </c>
      <c r="F133" t="inlineStr">
        <is>
          <t>DALARNAS LÄN</t>
        </is>
      </c>
      <c r="G133" t="inlineStr">
        <is>
          <t>AVESTA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45058</v>
      </c>
      <c r="E134" s="1" t="n">
        <v>46300</v>
      </c>
      <c r="F134" t="inlineStr">
        <is>
          <t>DALARNAS LÄN</t>
        </is>
      </c>
      <c r="G134" t="inlineStr">
        <is>
          <t>AVESTA</t>
        </is>
      </c>
      <c r="H134" t="inlineStr">
        <is>
          <t>Bergvik skog väst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46300</v>
      </c>
      <c r="F135" t="inlineStr">
        <is>
          <t>DALARNAS LÄN</t>
        </is>
      </c>
      <c r="G135" t="inlineStr">
        <is>
          <t>AVESTA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46300</v>
      </c>
      <c r="F136" t="inlineStr">
        <is>
          <t>DALARNAS LÄN</t>
        </is>
      </c>
      <c r="G136" t="inlineStr">
        <is>
          <t>AVESTA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46300</v>
      </c>
      <c r="F137" t="inlineStr">
        <is>
          <t>DALARNAS LÄN</t>
        </is>
      </c>
      <c r="G137" t="inlineStr">
        <is>
          <t>AVESTA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46300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45496</v>
      </c>
      <c r="E139" s="1" t="n">
        <v>46300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44972</v>
      </c>
      <c r="E140" s="1" t="n">
        <v>46300</v>
      </c>
      <c r="F140" t="inlineStr">
        <is>
          <t>DALARNAS LÄN</t>
        </is>
      </c>
      <c r="G140" t="inlineStr">
        <is>
          <t>AVESTA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46300</v>
      </c>
      <c r="F141" t="inlineStr">
        <is>
          <t>DALARNAS LÄN</t>
        </is>
      </c>
      <c r="G141" t="inlineStr">
        <is>
          <t>AVESTA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46300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46300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46300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46300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45492</v>
      </c>
      <c r="E146" s="1" t="n">
        <v>46300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46300</v>
      </c>
      <c r="F147" t="inlineStr">
        <is>
          <t>DALARNAS LÄN</t>
        </is>
      </c>
      <c r="G147" t="inlineStr">
        <is>
          <t>AVESTA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50900-2022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46300</v>
      </c>
      <c r="F148" t="inlineStr">
        <is>
          <t>DALARNAS LÄN</t>
        </is>
      </c>
      <c r="G148" t="inlineStr">
        <is>
          <t>AVESTA</t>
        </is>
      </c>
      <c r="I148" t="n">
        <v>14.8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44687</v>
      </c>
      <c r="E149" s="1" t="n">
        <v>46300</v>
      </c>
      <c r="F149" t="inlineStr">
        <is>
          <t>DALARNAS LÄN</t>
        </is>
      </c>
      <c r="G149" t="inlineStr">
        <is>
          <t>AVESTA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28361-2025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46300</v>
      </c>
      <c r="F150" t="inlineStr">
        <is>
          <t>DALARNAS LÄN</t>
        </is>
      </c>
      <c r="G150" t="inlineStr">
        <is>
          <t>AVESTA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46300</v>
      </c>
      <c r="F151" t="inlineStr">
        <is>
          <t>DALARNAS LÄN</t>
        </is>
      </c>
      <c r="G151" t="inlineStr">
        <is>
          <t>AVESTA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46300</v>
      </c>
      <c r="F152" t="inlineStr">
        <is>
          <t>DALARNAS LÄN</t>
        </is>
      </c>
      <c r="G152" t="inlineStr">
        <is>
          <t>AVESTA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46300</v>
      </c>
      <c r="F153" t="inlineStr">
        <is>
          <t>DALARNAS LÄN</t>
        </is>
      </c>
      <c r="G153" t="inlineStr">
        <is>
          <t>AVESTA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46300</v>
      </c>
      <c r="F154" t="inlineStr">
        <is>
          <t>DALARNAS LÄN</t>
        </is>
      </c>
      <c r="G154" t="inlineStr">
        <is>
          <t>AVESTA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46300</v>
      </c>
      <c r="F155" t="inlineStr">
        <is>
          <t>DALARNAS LÄN</t>
        </is>
      </c>
      <c r="G155" t="inlineStr">
        <is>
          <t>AVESTA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46113</v>
      </c>
      <c r="E156" s="1" t="n">
        <v>46300</v>
      </c>
      <c r="F156" t="inlineStr">
        <is>
          <t>DALARNAS LÄN</t>
        </is>
      </c>
      <c r="G156" t="inlineStr">
        <is>
          <t>AVESTA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46113</v>
      </c>
      <c r="E157" s="1" t="n">
        <v>46300</v>
      </c>
      <c r="F157" t="inlineStr">
        <is>
          <t>DALARNAS LÄN</t>
        </is>
      </c>
      <c r="G157" t="inlineStr">
        <is>
          <t>AVESTA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46300</v>
      </c>
      <c r="F158" t="inlineStr">
        <is>
          <t>DALARNAS LÄN</t>
        </is>
      </c>
      <c r="G158" t="inlineStr">
        <is>
          <t>AVESTA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46300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46300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46300</v>
      </c>
      <c r="F161" t="inlineStr">
        <is>
          <t>DALARNAS LÄN</t>
        </is>
      </c>
      <c r="G161" t="inlineStr">
        <is>
          <t>AVESTA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46300</v>
      </c>
      <c r="F162" t="inlineStr">
        <is>
          <t>DALARNAS LÄN</t>
        </is>
      </c>
      <c r="G162" t="inlineStr">
        <is>
          <t>AVESTA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46300</v>
      </c>
      <c r="F163" t="inlineStr">
        <is>
          <t>DALARNAS LÄN</t>
        </is>
      </c>
      <c r="G163" t="inlineStr">
        <is>
          <t>AVESTA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45994</v>
      </c>
      <c r="E164" s="1" t="n">
        <v>46300</v>
      </c>
      <c r="F164" t="inlineStr">
        <is>
          <t>DALARNAS LÄN</t>
        </is>
      </c>
      <c r="G164" t="inlineStr">
        <is>
          <t>AVESTA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46300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46300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46300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18679-2026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46128</v>
      </c>
      <c r="E168" s="1" t="n">
        <v>46300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46128</v>
      </c>
      <c r="E169" s="1" t="n">
        <v>46300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44746</v>
      </c>
      <c r="E170" s="1" t="n">
        <v>46300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46300</v>
      </c>
      <c r="F171" t="inlineStr">
        <is>
          <t>DALARNAS LÄN</t>
        </is>
      </c>
      <c r="G171" t="inlineStr">
        <is>
          <t>AVESTA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46300</v>
      </c>
      <c r="F172" t="inlineStr">
        <is>
          <t>DALARNAS LÄN</t>
        </is>
      </c>
      <c r="G172" t="inlineStr">
        <is>
          <t>AVESTA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45007</v>
      </c>
      <c r="E173" s="1" t="n">
        <v>46300</v>
      </c>
      <c r="F173" t="inlineStr">
        <is>
          <t>DALARNAS LÄN</t>
        </is>
      </c>
      <c r="G173" t="inlineStr">
        <is>
          <t>AVESTA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46300</v>
      </c>
      <c r="F174" t="inlineStr">
        <is>
          <t>DALARNAS LÄN</t>
        </is>
      </c>
      <c r="G174" t="inlineStr">
        <is>
          <t>AVESTA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46300</v>
      </c>
      <c r="F175" t="inlineStr">
        <is>
          <t>DALARNAS LÄN</t>
        </is>
      </c>
      <c r="G175" t="inlineStr">
        <is>
          <t>AVESTA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46300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46135</v>
      </c>
      <c r="E177" s="1" t="n">
        <v>46300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46300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46300</v>
      </c>
      <c r="F179" t="inlineStr">
        <is>
          <t>DALARNAS LÄN</t>
        </is>
      </c>
      <c r="G179" t="inlineStr">
        <is>
          <t>AVESTA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45866</v>
      </c>
      <c r="E180" s="1" t="n">
        <v>46300</v>
      </c>
      <c r="F180" t="inlineStr">
        <is>
          <t>DALARNAS LÄN</t>
        </is>
      </c>
      <c r="G180" t="inlineStr">
        <is>
          <t>AVESTA</t>
        </is>
      </c>
      <c r="I180" t="n">
        <v>10.6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50682-2024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45602</v>
      </c>
      <c r="E181" s="1" t="n">
        <v>46300</v>
      </c>
      <c r="F181" t="inlineStr">
        <is>
          <t>DALARNAS LÄN</t>
        </is>
      </c>
      <c r="G181" t="inlineStr">
        <is>
          <t>AVESTA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46300</v>
      </c>
      <c r="F182" t="inlineStr">
        <is>
          <t>DALARNAS LÄN</t>
        </is>
      </c>
      <c r="G182" t="inlineStr">
        <is>
          <t>AVESTA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46300</v>
      </c>
      <c r="F183" t="inlineStr">
        <is>
          <t>DALARNAS LÄN</t>
        </is>
      </c>
      <c r="G183" t="inlineStr">
        <is>
          <t>AVESTA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45514</v>
      </c>
      <c r="E184" s="1" t="n">
        <v>46300</v>
      </c>
      <c r="F184" t="inlineStr">
        <is>
          <t>DALARNAS LÄN</t>
        </is>
      </c>
      <c r="G184" t="inlineStr">
        <is>
          <t>AVESTA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32113-2024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45511</v>
      </c>
      <c r="E185" s="1" t="n">
        <v>46300</v>
      </c>
      <c r="F185" t="inlineStr">
        <is>
          <t>DALARNAS LÄN</t>
        </is>
      </c>
      <c r="G185" t="inlineStr">
        <is>
          <t>AVESTA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45708</v>
      </c>
      <c r="E186" s="1" t="n">
        <v>46300</v>
      </c>
      <c r="F186" t="inlineStr">
        <is>
          <t>DALARNAS LÄN</t>
        </is>
      </c>
      <c r="G186" t="inlineStr">
        <is>
          <t>AVESTA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45008</v>
      </c>
      <c r="E187" s="1" t="n">
        <v>46300</v>
      </c>
      <c r="F187" t="inlineStr">
        <is>
          <t>DALARNAS LÄN</t>
        </is>
      </c>
      <c r="G187" t="inlineStr">
        <is>
          <t>AVESTA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46300</v>
      </c>
      <c r="F188" t="inlineStr">
        <is>
          <t>DALARNAS LÄN</t>
        </is>
      </c>
      <c r="G188" t="inlineStr">
        <is>
          <t>AVESTA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45505</v>
      </c>
      <c r="E189" s="1" t="n">
        <v>46300</v>
      </c>
      <c r="F189" t="inlineStr">
        <is>
          <t>DALARNAS LÄN</t>
        </is>
      </c>
      <c r="G189" t="inlineStr">
        <is>
          <t>AVESTA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44650</v>
      </c>
      <c r="E190" s="1" t="n">
        <v>46300</v>
      </c>
      <c r="F190" t="inlineStr">
        <is>
          <t>DALARNAS LÄN</t>
        </is>
      </c>
      <c r="G190" t="inlineStr">
        <is>
          <t>AVESTA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46300</v>
      </c>
      <c r="F191" t="inlineStr">
        <is>
          <t>DALARNAS LÄN</t>
        </is>
      </c>
      <c r="G191" t="inlineStr">
        <is>
          <t>AVESTA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46300</v>
      </c>
      <c r="F192" t="inlineStr">
        <is>
          <t>DALARNAS LÄN</t>
        </is>
      </c>
      <c r="G192" t="inlineStr">
        <is>
          <t>AVESTA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45138</v>
      </c>
      <c r="E193" s="1" t="n">
        <v>46300</v>
      </c>
      <c r="F193" t="inlineStr">
        <is>
          <t>DALARNAS LÄN</t>
        </is>
      </c>
      <c r="G193" t="inlineStr">
        <is>
          <t>AVESTA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46300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45496</v>
      </c>
      <c r="E195" s="1" t="n">
        <v>46300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46300</v>
      </c>
      <c r="F196" t="inlineStr">
        <is>
          <t>DALARNAS LÄN</t>
        </is>
      </c>
      <c r="G196" t="inlineStr">
        <is>
          <t>AVESTA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46300</v>
      </c>
      <c r="F197" t="inlineStr">
        <is>
          <t>DALARNAS LÄN</t>
        </is>
      </c>
      <c r="G197" t="inlineStr">
        <is>
          <t>AVESTA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46300</v>
      </c>
      <c r="F198" t="inlineStr">
        <is>
          <t>DALARNAS LÄN</t>
        </is>
      </c>
      <c r="G198" t="inlineStr">
        <is>
          <t>AVESTA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45044</v>
      </c>
      <c r="E199" s="1" t="n">
        <v>46300</v>
      </c>
      <c r="F199" t="inlineStr">
        <is>
          <t>DALARNAS LÄN</t>
        </is>
      </c>
      <c r="G199" t="inlineStr">
        <is>
          <t>AVESTA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45863</v>
      </c>
      <c r="E200" s="1" t="n">
        <v>46300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14.1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45863</v>
      </c>
      <c r="E201" s="1" t="n">
        <v>46300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45863</v>
      </c>
      <c r="E202" s="1" t="n">
        <v>46300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45269</v>
      </c>
      <c r="E203" s="1" t="n">
        <v>46300</v>
      </c>
      <c r="F203" t="inlineStr">
        <is>
          <t>DALARNAS LÄN</t>
        </is>
      </c>
      <c r="G203" t="inlineStr">
        <is>
          <t>AVESTA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45867</v>
      </c>
      <c r="E204" s="1" t="n">
        <v>46300</v>
      </c>
      <c r="F204" t="inlineStr">
        <is>
          <t>DALARNAS LÄN</t>
        </is>
      </c>
      <c r="G204" t="inlineStr">
        <is>
          <t>AVESTA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46300</v>
      </c>
      <c r="F205" t="inlineStr">
        <is>
          <t>DALARNAS LÄN</t>
        </is>
      </c>
      <c r="G205" t="inlineStr">
        <is>
          <t>AVESTA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46300</v>
      </c>
      <c r="F206" t="inlineStr">
        <is>
          <t>DALARNAS LÄN</t>
        </is>
      </c>
      <c r="G206" t="inlineStr">
        <is>
          <t>AVESTA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45007</v>
      </c>
      <c r="E207" s="1" t="n">
        <v>46300</v>
      </c>
      <c r="F207" t="inlineStr">
        <is>
          <t>DALARNAS LÄN</t>
        </is>
      </c>
      <c r="G207" t="inlineStr">
        <is>
          <t>AVESTA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46300</v>
      </c>
      <c r="F208" t="inlineStr">
        <is>
          <t>DALARNAS LÄN</t>
        </is>
      </c>
      <c r="G208" t="inlineStr">
        <is>
          <t>AVESTA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45729</v>
      </c>
      <c r="E209" s="1" t="n">
        <v>46300</v>
      </c>
      <c r="F209" t="inlineStr">
        <is>
          <t>DALARNAS LÄN</t>
        </is>
      </c>
      <c r="G209" t="inlineStr">
        <is>
          <t>AVESTA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46300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46300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46300</v>
      </c>
      <c r="F212" t="inlineStr">
        <is>
          <t>DALARNAS LÄN</t>
        </is>
      </c>
      <c r="G212" t="inlineStr">
        <is>
          <t>AVESTA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10078-2025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45719</v>
      </c>
      <c r="E213" s="1" t="n">
        <v>46300</v>
      </c>
      <c r="F213" t="inlineStr">
        <is>
          <t>DALARNAS LÄN</t>
        </is>
      </c>
      <c r="G213" t="inlineStr">
        <is>
          <t>AVESTA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46300</v>
      </c>
      <c r="F214" t="inlineStr">
        <is>
          <t>DALARNAS LÄN</t>
        </is>
      </c>
      <c r="G214" t="inlineStr">
        <is>
          <t>AVESTA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46300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45792</v>
      </c>
      <c r="E216" s="1" t="n">
        <v>46300</v>
      </c>
      <c r="F216" t="inlineStr">
        <is>
          <t>DALARNAS LÄN</t>
        </is>
      </c>
      <c r="G216" t="inlineStr">
        <is>
          <t>AVESTA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46155</v>
      </c>
      <c r="E217" s="1" t="n">
        <v>46300</v>
      </c>
      <c r="F217" t="inlineStr">
        <is>
          <t>DALARNAS LÄN</t>
        </is>
      </c>
      <c r="G217" t="inlineStr">
        <is>
          <t>AVESTA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46300</v>
      </c>
      <c r="F218" t="inlineStr">
        <is>
          <t>DALARNAS LÄN</t>
        </is>
      </c>
      <c r="G218" t="inlineStr">
        <is>
          <t>AVESTA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19359-2025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45769</v>
      </c>
      <c r="E219" s="1" t="n">
        <v>46300</v>
      </c>
      <c r="F219" t="inlineStr">
        <is>
          <t>DALARNAS LÄN</t>
        </is>
      </c>
      <c r="G219" t="inlineStr">
        <is>
          <t>AVESTA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46300</v>
      </c>
      <c r="F220" t="inlineStr">
        <is>
          <t>DALARNAS LÄN</t>
        </is>
      </c>
      <c r="G220" t="inlineStr">
        <is>
          <t>AVESTA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46300</v>
      </c>
      <c r="F221" t="inlineStr">
        <is>
          <t>DALARNAS LÄN</t>
        </is>
      </c>
      <c r="G221" t="inlineStr">
        <is>
          <t>AVESTA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9403-2022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44616</v>
      </c>
      <c r="E222" s="1" t="n">
        <v>46300</v>
      </c>
      <c r="F222" t="inlineStr">
        <is>
          <t>DALARNAS LÄN</t>
        </is>
      </c>
      <c r="G222" t="inlineStr">
        <is>
          <t>AVESTA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46300</v>
      </c>
      <c r="F223" t="inlineStr">
        <is>
          <t>DALARNAS LÄN</t>
        </is>
      </c>
      <c r="G223" t="inlineStr">
        <is>
          <t>AVESTA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45497</v>
      </c>
      <c r="E224" s="1" t="n">
        <v>46300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46300</v>
      </c>
      <c r="F225" t="inlineStr">
        <is>
          <t>DALARNAS LÄN</t>
        </is>
      </c>
      <c r="G225" t="inlineStr">
        <is>
          <t>AVESTA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46300</v>
      </c>
      <c r="F226" t="inlineStr">
        <is>
          <t>DALARNAS LÄN</t>
        </is>
      </c>
      <c r="G226" t="inlineStr">
        <is>
          <t>AVESTA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45040</v>
      </c>
      <c r="E227" s="1" t="n">
        <v>46300</v>
      </c>
      <c r="F227" t="inlineStr">
        <is>
          <t>DALARNAS LÄN</t>
        </is>
      </c>
      <c r="G227" t="inlineStr">
        <is>
          <t>AVESTA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45370</v>
      </c>
      <c r="E228" s="1" t="n">
        <v>46300</v>
      </c>
      <c r="F228" t="inlineStr">
        <is>
          <t>DALARNAS LÄN</t>
        </is>
      </c>
      <c r="G228" t="inlineStr">
        <is>
          <t>AVESTA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44581</v>
      </c>
      <c r="E229" s="1" t="n">
        <v>46300</v>
      </c>
      <c r="F229" t="inlineStr">
        <is>
          <t>DALARNAS LÄN</t>
        </is>
      </c>
      <c r="G229" t="inlineStr">
        <is>
          <t>AVESTA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46300</v>
      </c>
      <c r="F230" t="inlineStr">
        <is>
          <t>DALARNAS LÄN</t>
        </is>
      </c>
      <c r="G230" t="inlineStr">
        <is>
          <t>AVESTA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46300</v>
      </c>
      <c r="F231" t="inlineStr">
        <is>
          <t>DALARNAS LÄN</t>
        </is>
      </c>
      <c r="G231" t="inlineStr">
        <is>
          <t>AVESTA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46300</v>
      </c>
      <c r="F232" t="inlineStr">
        <is>
          <t>DALARNAS LÄN</t>
        </is>
      </c>
      <c r="G232" t="inlineStr">
        <is>
          <t>AVESTA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46300</v>
      </c>
      <c r="F233" t="inlineStr">
        <is>
          <t>DALARNAS LÄN</t>
        </is>
      </c>
      <c r="G233" t="inlineStr">
        <is>
          <t>AVESTA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45881</v>
      </c>
      <c r="E234" s="1" t="n">
        <v>46300</v>
      </c>
      <c r="F234" t="inlineStr">
        <is>
          <t>DALARNAS LÄN</t>
        </is>
      </c>
      <c r="G234" t="inlineStr">
        <is>
          <t>AVESTA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46300</v>
      </c>
      <c r="F235" t="inlineStr">
        <is>
          <t>DALARNAS LÄN</t>
        </is>
      </c>
      <c r="G235" t="inlineStr">
        <is>
          <t>AVESTA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45058</v>
      </c>
      <c r="E236" s="1" t="n">
        <v>46300</v>
      </c>
      <c r="F236" t="inlineStr">
        <is>
          <t>DALARNAS LÄN</t>
        </is>
      </c>
      <c r="G236" t="inlineStr">
        <is>
          <t>AVESTA</t>
        </is>
      </c>
      <c r="I236" t="n">
        <v>17.6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45455</v>
      </c>
      <c r="E237" s="1" t="n">
        <v>46300</v>
      </c>
      <c r="F237" t="inlineStr">
        <is>
          <t>DALARNAS LÄN</t>
        </is>
      </c>
      <c r="G237" t="inlineStr">
        <is>
          <t>AVESTA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46300</v>
      </c>
      <c r="F238" t="inlineStr">
        <is>
          <t>DALARNAS LÄN</t>
        </is>
      </c>
      <c r="G238" t="inlineStr">
        <is>
          <t>AVESTA</t>
        </is>
      </c>
      <c r="I238" t="n">
        <v>19.2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46300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46300</v>
      </c>
      <c r="F240" t="inlineStr">
        <is>
          <t>DALARNAS LÄN</t>
        </is>
      </c>
      <c r="G240" t="inlineStr">
        <is>
          <t>AVESTA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46300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46300</v>
      </c>
      <c r="F242" t="inlineStr">
        <is>
          <t>DALARNAS LÄN</t>
        </is>
      </c>
      <c r="G242" t="inlineStr">
        <is>
          <t>AVESTA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46300</v>
      </c>
      <c r="F243" t="inlineStr">
        <is>
          <t>DALARNAS LÄN</t>
        </is>
      </c>
      <c r="G243" t="inlineStr">
        <is>
          <t>AVESTA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46300</v>
      </c>
      <c r="F244" t="inlineStr">
        <is>
          <t>DALARNAS LÄN</t>
        </is>
      </c>
      <c r="G244" t="inlineStr">
        <is>
          <t>AVESTA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44876</v>
      </c>
      <c r="E245" s="1" t="n">
        <v>46300</v>
      </c>
      <c r="F245" t="inlineStr">
        <is>
          <t>DALARNAS LÄN</t>
        </is>
      </c>
      <c r="G245" t="inlineStr">
        <is>
          <t>AVESTA</t>
        </is>
      </c>
      <c r="H245" t="inlineStr">
        <is>
          <t>Kyrkan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45232</v>
      </c>
      <c r="E246" s="1" t="n">
        <v>46300</v>
      </c>
      <c r="F246" t="inlineStr">
        <is>
          <t>DALARNAS LÄN</t>
        </is>
      </c>
      <c r="G246" t="inlineStr">
        <is>
          <t>AVESTA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45274</v>
      </c>
      <c r="E247" s="1" t="n">
        <v>46300</v>
      </c>
      <c r="F247" t="inlineStr">
        <is>
          <t>DALARNAS LÄN</t>
        </is>
      </c>
      <c r="G247" t="inlineStr">
        <is>
          <t>AVESTA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46300</v>
      </c>
      <c r="F248" t="inlineStr">
        <is>
          <t>DALARNAS LÄN</t>
        </is>
      </c>
      <c r="G248" t="inlineStr">
        <is>
          <t>AVESTA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46300</v>
      </c>
      <c r="F249" t="inlineStr">
        <is>
          <t>DALARNAS LÄN</t>
        </is>
      </c>
      <c r="G249" t="inlineStr">
        <is>
          <t>AVESTA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44141-2022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44839</v>
      </c>
      <c r="E250" s="1" t="n">
        <v>46300</v>
      </c>
      <c r="F250" t="inlineStr">
        <is>
          <t>DALARNAS LÄN</t>
        </is>
      </c>
      <c r="G250" t="inlineStr">
        <is>
          <t>AVESTA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46300</v>
      </c>
      <c r="F251" t="inlineStr">
        <is>
          <t>DALARNAS LÄN</t>
        </is>
      </c>
      <c r="G251" t="inlineStr">
        <is>
          <t>AVESTA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46300</v>
      </c>
      <c r="F252" t="inlineStr">
        <is>
          <t>DALARNAS LÄN</t>
        </is>
      </c>
      <c r="G252" t="inlineStr">
        <is>
          <t>AVESTA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45505</v>
      </c>
      <c r="E253" s="1" t="n">
        <v>46300</v>
      </c>
      <c r="F253" t="inlineStr">
        <is>
          <t>DALARNAS LÄN</t>
        </is>
      </c>
      <c r="G253" t="inlineStr">
        <is>
          <t>AVESTA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73377-2021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44551</v>
      </c>
      <c r="E254" s="1" t="n">
        <v>46300</v>
      </c>
      <c r="F254" t="inlineStr">
        <is>
          <t>DALARNAS LÄN</t>
        </is>
      </c>
      <c r="G254" t="inlineStr">
        <is>
          <t>AVESTA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44966</v>
      </c>
      <c r="E255" s="1" t="n">
        <v>46300</v>
      </c>
      <c r="F255" t="inlineStr">
        <is>
          <t>DALARNAS LÄN</t>
        </is>
      </c>
      <c r="G255" t="inlineStr">
        <is>
          <t>AVESTA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49286-2023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45210</v>
      </c>
      <c r="E256" s="1" t="n">
        <v>46300</v>
      </c>
      <c r="F256" t="inlineStr">
        <is>
          <t>DALARNAS LÄN</t>
        </is>
      </c>
      <c r="G256" t="inlineStr">
        <is>
          <t>AVESTA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44971</v>
      </c>
      <c r="E257" s="1" t="n">
        <v>46300</v>
      </c>
      <c r="F257" t="inlineStr">
        <is>
          <t>DALARNAS LÄN</t>
        </is>
      </c>
      <c r="G257" t="inlineStr">
        <is>
          <t>AVESTA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46300</v>
      </c>
      <c r="F258" t="inlineStr">
        <is>
          <t>DALARNAS LÄN</t>
        </is>
      </c>
      <c r="G258" t="inlineStr">
        <is>
          <t>AVESTA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28227-2026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46196</v>
      </c>
      <c r="E259" s="1" t="n">
        <v>46300</v>
      </c>
      <c r="F259" t="inlineStr">
        <is>
          <t>DALARNAS LÄN</t>
        </is>
      </c>
      <c r="G259" t="inlineStr">
        <is>
          <t>AVESTA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46300</v>
      </c>
      <c r="F260" t="inlineStr">
        <is>
          <t>DALARNAS LÄN</t>
        </is>
      </c>
      <c r="G260" t="inlineStr">
        <is>
          <t>AVESTA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46300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46300</v>
      </c>
      <c r="F262" t="inlineStr">
        <is>
          <t>DALARNAS LÄN</t>
        </is>
      </c>
      <c r="G262" t="inlineStr">
        <is>
          <t>AVESTA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46198</v>
      </c>
      <c r="E263" s="1" t="n">
        <v>46300</v>
      </c>
      <c r="F263" t="inlineStr">
        <is>
          <t>DALARNAS LÄN</t>
        </is>
      </c>
      <c r="G263" t="inlineStr">
        <is>
          <t>AVESTA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25960-2022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44734</v>
      </c>
      <c r="E264" s="1" t="n">
        <v>46300</v>
      </c>
      <c r="F264" t="inlineStr">
        <is>
          <t>DALARNAS LÄN</t>
        </is>
      </c>
      <c r="G264" t="inlineStr">
        <is>
          <t>AVESTA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46300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46300</v>
      </c>
      <c r="F266" t="inlineStr">
        <is>
          <t>DALARNAS LÄN</t>
        </is>
      </c>
      <c r="G266" t="inlineStr">
        <is>
          <t>AVESTA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46300</v>
      </c>
      <c r="F267" t="inlineStr">
        <is>
          <t>DALARNAS LÄN</t>
        </is>
      </c>
      <c r="G267" t="inlineStr">
        <is>
          <t>AVESTA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46300</v>
      </c>
      <c r="F268" t="inlineStr">
        <is>
          <t>DALARNAS LÄN</t>
        </is>
      </c>
      <c r="G268" t="inlineStr">
        <is>
          <t>AVESTA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46261</v>
      </c>
      <c r="E269" s="1" t="n">
        <v>46300</v>
      </c>
      <c r="F269" t="inlineStr">
        <is>
          <t>DALARNAS LÄN</t>
        </is>
      </c>
      <c r="G269" t="inlineStr">
        <is>
          <t>AVESTA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46223</v>
      </c>
      <c r="E270" s="1" t="n">
        <v>46300</v>
      </c>
      <c r="F270" t="inlineStr">
        <is>
          <t>DALARNAS LÄN</t>
        </is>
      </c>
      <c r="G270" t="inlineStr">
        <is>
          <t>AVESTA</t>
        </is>
      </c>
      <c r="H270" t="inlineStr">
        <is>
          <t>Bergvik skog väst AB</t>
        </is>
      </c>
      <c r="I270" t="n">
        <v>21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46300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12.2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46300</v>
      </c>
      <c r="F272" t="inlineStr">
        <is>
          <t>DALARNAS LÄN</t>
        </is>
      </c>
      <c r="G272" t="inlineStr">
        <is>
          <t>AVESTA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46275</v>
      </c>
      <c r="E273" s="1" t="n">
        <v>46300</v>
      </c>
      <c r="F273" t="inlineStr">
        <is>
          <t>DALARNAS LÄN</t>
        </is>
      </c>
      <c r="G273" t="inlineStr">
        <is>
          <t>AVESTA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44739</v>
      </c>
      <c r="E274" s="1" t="n">
        <v>46300</v>
      </c>
      <c r="F274" t="inlineStr">
        <is>
          <t>DALARNAS LÄN</t>
        </is>
      </c>
      <c r="G274" t="inlineStr">
        <is>
          <t>AVESTA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45231</v>
      </c>
      <c r="E275" s="1" t="n">
        <v>46300</v>
      </c>
      <c r="F275" t="inlineStr">
        <is>
          <t>DALARNAS LÄN</t>
        </is>
      </c>
      <c r="G275" t="inlineStr">
        <is>
          <t>AVESTA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58094-2022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46300</v>
      </c>
      <c r="F276" t="inlineStr">
        <is>
          <t>DALARNAS LÄN</t>
        </is>
      </c>
      <c r="G276" t="inlineStr">
        <is>
          <t>AVESTA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46300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46300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45549</v>
      </c>
      <c r="E279" s="1" t="n">
        <v>46300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46283</v>
      </c>
      <c r="E280" s="1" t="n">
        <v>46300</v>
      </c>
      <c r="F280" t="inlineStr">
        <is>
          <t>DALARNAS LÄN</t>
        </is>
      </c>
      <c r="G280" t="inlineStr">
        <is>
          <t>AVESTA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46283</v>
      </c>
      <c r="E281" s="1" t="n">
        <v>46300</v>
      </c>
      <c r="F281" t="inlineStr">
        <is>
          <t>DALARNAS LÄN</t>
        </is>
      </c>
      <c r="G281" t="inlineStr">
        <is>
          <t>AVESTA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46244</v>
      </c>
      <c r="E282" s="1" t="n">
        <v>46300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39389-2026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46300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46287</v>
      </c>
      <c r="E284" s="1" t="n">
        <v>46300</v>
      </c>
      <c r="F284" t="inlineStr">
        <is>
          <t>DALARNAS LÄN</t>
        </is>
      </c>
      <c r="G284" t="inlineStr">
        <is>
          <t>AVESTA</t>
        </is>
      </c>
      <c r="H284" t="inlineStr">
        <is>
          <t>Bergvik skog väst AB</t>
        </is>
      </c>
      <c r="I284" t="n">
        <v>49.9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46246</v>
      </c>
      <c r="E285" s="1" t="n">
        <v>46300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44613</v>
      </c>
      <c r="E286" s="1" t="n">
        <v>46300</v>
      </c>
      <c r="F286" t="inlineStr">
        <is>
          <t>DALARNAS LÄN</t>
        </is>
      </c>
      <c r="G286" t="inlineStr">
        <is>
          <t>AVESTA</t>
        </is>
      </c>
      <c r="I286" t="n">
        <v>12.9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45273</v>
      </c>
      <c r="E287" s="1" t="n">
        <v>46300</v>
      </c>
      <c r="F287" t="inlineStr">
        <is>
          <t>DALARNAS LÄN</t>
        </is>
      </c>
      <c r="G287" t="inlineStr">
        <is>
          <t>AVESTA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46300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45877</v>
      </c>
      <c r="E289" s="1" t="n">
        <v>46300</v>
      </c>
      <c r="F289" t="inlineStr">
        <is>
          <t>DALARNAS LÄN</t>
        </is>
      </c>
      <c r="G289" t="inlineStr">
        <is>
          <t>AVESTA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46300</v>
      </c>
      <c r="F290" t="inlineStr">
        <is>
          <t>DALARNAS LÄN</t>
        </is>
      </c>
      <c r="G290" t="inlineStr">
        <is>
          <t>AVESTA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44474-2022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44840</v>
      </c>
      <c r="E291" s="1" t="n">
        <v>46300</v>
      </c>
      <c r="F291" t="inlineStr">
        <is>
          <t>DALARNAS LÄN</t>
        </is>
      </c>
      <c r="G291" t="inlineStr">
        <is>
          <t>AVESTA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46300</v>
      </c>
      <c r="F292" t="inlineStr">
        <is>
          <t>DALARNAS LÄN</t>
        </is>
      </c>
      <c r="G292" t="inlineStr">
        <is>
          <t>AVESTA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45190</v>
      </c>
      <c r="E293" s="1" t="n">
        <v>46300</v>
      </c>
      <c r="F293" t="inlineStr">
        <is>
          <t>DALARNAS LÄN</t>
        </is>
      </c>
      <c r="G293" t="inlineStr">
        <is>
          <t>AVESTA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45473</v>
      </c>
      <c r="E294" s="1" t="n">
        <v>46300</v>
      </c>
      <c r="F294" t="inlineStr">
        <is>
          <t>DALARNAS LÄN</t>
        </is>
      </c>
      <c r="G294" t="inlineStr">
        <is>
          <t>AVESTA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45408</v>
      </c>
      <c r="E295" s="1" t="n">
        <v>46300</v>
      </c>
      <c r="F295" t="inlineStr">
        <is>
          <t>DALARNAS LÄN</t>
        </is>
      </c>
      <c r="G295" t="inlineStr">
        <is>
          <t>AVESTA</t>
        </is>
      </c>
      <c r="H295" t="inlineStr">
        <is>
          <t>Bergvik skog väst AB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46300</v>
      </c>
      <c r="F296" t="inlineStr">
        <is>
          <t>DALARNAS LÄN</t>
        </is>
      </c>
      <c r="G296" t="inlineStr">
        <is>
          <t>AVESTA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44875</v>
      </c>
      <c r="E297" s="1" t="n">
        <v>46300</v>
      </c>
      <c r="F297" t="inlineStr">
        <is>
          <t>DALARNAS LÄN</t>
        </is>
      </c>
      <c r="G297" t="inlineStr">
        <is>
          <t>AVESTA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46300</v>
      </c>
      <c r="F298" t="inlineStr">
        <is>
          <t>DALARNAS LÄN</t>
        </is>
      </c>
      <c r="G298" t="inlineStr">
        <is>
          <t>AVESTA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46297</v>
      </c>
      <c r="E299" s="1" t="n">
        <v>46300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45008</v>
      </c>
      <c r="E300" s="1" t="n">
        <v>46300</v>
      </c>
      <c r="F300" t="inlineStr">
        <is>
          <t>DALARNAS LÄN</t>
        </is>
      </c>
      <c r="G300" t="inlineStr">
        <is>
          <t>AVESTA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46300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46296</v>
      </c>
      <c r="E302" s="1" t="n">
        <v>46300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46300</v>
      </c>
      <c r="F303" t="inlineStr">
        <is>
          <t>DALARNAS LÄN</t>
        </is>
      </c>
      <c r="G303" t="inlineStr">
        <is>
          <t>AVESTA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46300</v>
      </c>
      <c r="F304" t="inlineStr">
        <is>
          <t>DALARNAS LÄN</t>
        </is>
      </c>
      <c r="G304" t="inlineStr">
        <is>
          <t>AVESTA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50681-2024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45602</v>
      </c>
      <c r="E305" s="1" t="n">
        <v>46300</v>
      </c>
      <c r="F305" t="inlineStr">
        <is>
          <t>DALARNAS LÄN</t>
        </is>
      </c>
      <c r="G305" t="inlineStr">
        <is>
          <t>AVESTA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44739</v>
      </c>
      <c r="E306" s="1" t="n">
        <v>46300</v>
      </c>
      <c r="F306" t="inlineStr">
        <is>
          <t>DALARNAS LÄN</t>
        </is>
      </c>
      <c r="G306" t="inlineStr">
        <is>
          <t>AVESTA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45538</v>
      </c>
      <c r="E307" s="1" t="n">
        <v>46300</v>
      </c>
      <c r="F307" t="inlineStr">
        <is>
          <t>DALARNAS LÄN</t>
        </is>
      </c>
      <c r="G307" t="inlineStr">
        <is>
          <t>AVESTA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45625</v>
      </c>
      <c r="E308" s="1" t="n">
        <v>46300</v>
      </c>
      <c r="F308" t="inlineStr">
        <is>
          <t>DALARNAS LÄN</t>
        </is>
      </c>
      <c r="G308" t="inlineStr">
        <is>
          <t>AVESTA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46300</v>
      </c>
      <c r="F309" t="inlineStr">
        <is>
          <t>DALARNAS LÄN</t>
        </is>
      </c>
      <c r="G309" t="inlineStr">
        <is>
          <t>AVESTA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46300</v>
      </c>
      <c r="F310" t="inlineStr">
        <is>
          <t>DALARNAS LÄN</t>
        </is>
      </c>
      <c r="G310" t="inlineStr">
        <is>
          <t>AVESTA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45078</v>
      </c>
      <c r="E311" s="1" t="n">
        <v>46300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32770-2023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45123</v>
      </c>
      <c r="E312" s="1" t="n">
        <v>46300</v>
      </c>
      <c r="F312" t="inlineStr">
        <is>
          <t>DALARNAS LÄN</t>
        </is>
      </c>
      <c r="G312" t="inlineStr">
        <is>
          <t>AVESTA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46300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46300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45103</v>
      </c>
      <c r="E315" s="1" t="n">
        <v>46300</v>
      </c>
      <c r="F315" t="inlineStr">
        <is>
          <t>DALARNAS LÄN</t>
        </is>
      </c>
      <c r="G315" t="inlineStr">
        <is>
          <t>AVESTA</t>
        </is>
      </c>
      <c r="H315" t="inlineStr">
        <is>
          <t>Bergvik skog väst AB</t>
        </is>
      </c>
      <c r="I315" t="n">
        <v>37.2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45453</v>
      </c>
      <c r="E316" s="1" t="n">
        <v>46300</v>
      </c>
      <c r="F316" t="inlineStr">
        <is>
          <t>DALARNAS LÄN</t>
        </is>
      </c>
      <c r="G316" t="inlineStr">
        <is>
          <t>AVESTA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59679-2024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45639</v>
      </c>
      <c r="E317" s="1" t="n">
        <v>46300</v>
      </c>
      <c r="F317" t="inlineStr">
        <is>
          <t>DALARNAS LÄN</t>
        </is>
      </c>
      <c r="G317" t="inlineStr">
        <is>
          <t>AVESTA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20942-2025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45777</v>
      </c>
      <c r="E318" s="1" t="n">
        <v>46300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45369</v>
      </c>
      <c r="E319" s="1" t="n">
        <v>46300</v>
      </c>
      <c r="F319" t="inlineStr">
        <is>
          <t>DALARNAS LÄN</t>
        </is>
      </c>
      <c r="G319" t="inlineStr">
        <is>
          <t>AVESTA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46300</v>
      </c>
      <c r="F320" t="inlineStr">
        <is>
          <t>DALARNAS LÄN</t>
        </is>
      </c>
      <c r="G320" t="inlineStr">
        <is>
          <t>AVESTA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46300</v>
      </c>
      <c r="F321" t="inlineStr">
        <is>
          <t>DALARNAS LÄN</t>
        </is>
      </c>
      <c r="G321" t="inlineStr">
        <is>
          <t>AVESTA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46300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46300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46300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46300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46300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46300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46300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46300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2026-10-05T01:53:39Z</dcterms:created>
  <dcterms:modified xmlns:dcterms="http://purl.org/dc/terms/" xmlns:xsi="http://www.w3.org/2001/XMLSchema-instance" xsi:type="dcterms:W3CDTF">2026-10-05T01:53:39Z</dcterms:modified>
</cp:coreProperties>
</file>