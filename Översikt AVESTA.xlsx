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45807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45807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45807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45807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45807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45807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45807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45807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59462-2023</t>
        </is>
      </c>
      <c r="B10" s="1" t="n">
        <v>45254</v>
      </c>
      <c r="C10" s="1" t="n">
        <v>45807</v>
      </c>
      <c r="D10" t="inlineStr">
        <is>
          <t>DALARNAS LÄN</t>
        </is>
      </c>
      <c r="E10" t="inlineStr">
        <is>
          <t>AVESTA</t>
        </is>
      </c>
      <c r="G10" t="n">
        <v>7.7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Plattlummer
Fläcknycklar
Mattlummer</t>
        </is>
      </c>
      <c r="S10">
        <f>HYPERLINK("https://klasma.github.io/Logging_2084/artfynd/A 59462-2023 artfynd.xlsx", "A 59462-2023")</f>
        <v/>
      </c>
      <c r="T10">
        <f>HYPERLINK("https://klasma.github.io/Logging_2084/kartor/A 59462-2023 karta.png", "A 59462-2023")</f>
        <v/>
      </c>
      <c r="V10">
        <f>HYPERLINK("https://klasma.github.io/Logging_2084/klagomål/A 59462-2023 FSC-klagomål.docx", "A 59462-2023")</f>
        <v/>
      </c>
      <c r="W10">
        <f>HYPERLINK("https://klasma.github.io/Logging_2084/klagomålsmail/A 59462-2023 FSC-klagomål mail.docx", "A 59462-2023")</f>
        <v/>
      </c>
      <c r="X10">
        <f>HYPERLINK("https://klasma.github.io/Logging_2084/tillsyn/A 59462-2023 tillsynsbegäran.docx", "A 59462-2023")</f>
        <v/>
      </c>
      <c r="Y10">
        <f>HYPERLINK("https://klasma.github.io/Logging_2084/tillsynsmail/A 59462-2023 tillsynsbegäran mail.docx", "A 59462-2023")</f>
        <v/>
      </c>
    </row>
    <row r="11" ht="15" customHeight="1">
      <c r="A11" t="inlineStr">
        <is>
          <t>A 20788-2024</t>
        </is>
      </c>
      <c r="B11" s="1" t="n">
        <v>45438</v>
      </c>
      <c r="C11" s="1" t="n">
        <v>45807</v>
      </c>
      <c r="D11" t="inlineStr">
        <is>
          <t>DALARNAS LÄN</t>
        </is>
      </c>
      <c r="E11" t="inlineStr">
        <is>
          <t>AVESTA</t>
        </is>
      </c>
      <c r="G11" t="n">
        <v>20.5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Kattfotslav
Vanlig groda</t>
        </is>
      </c>
      <c r="S11">
        <f>HYPERLINK("https://klasma.github.io/Logging_2084/artfynd/A 20788-2024 artfynd.xlsx", "A 20788-2024")</f>
        <v/>
      </c>
      <c r="T11">
        <f>HYPERLINK("https://klasma.github.io/Logging_2084/kartor/A 20788-2024 karta.png", "A 20788-2024")</f>
        <v/>
      </c>
      <c r="U11">
        <f>HYPERLINK("https://klasma.github.io/Logging_2084/knärot/A 20788-2024 karta knärot.png", "A 20788-2024")</f>
        <v/>
      </c>
      <c r="V11">
        <f>HYPERLINK("https://klasma.github.io/Logging_2084/klagomål/A 20788-2024 FSC-klagomål.docx", "A 20788-2024")</f>
        <v/>
      </c>
      <c r="W11">
        <f>HYPERLINK("https://klasma.github.io/Logging_2084/klagomålsmail/A 20788-2024 FSC-klagomål mail.docx", "A 20788-2024")</f>
        <v/>
      </c>
      <c r="X11">
        <f>HYPERLINK("https://klasma.github.io/Logging_2084/tillsyn/A 20788-2024 tillsynsbegäran.docx", "A 20788-2024")</f>
        <v/>
      </c>
      <c r="Y11">
        <f>HYPERLINK("https://klasma.github.io/Logging_2084/tillsynsmail/A 20788-2024 tillsynsbegäran mail.docx", "A 20788-2024")</f>
        <v/>
      </c>
    </row>
    <row r="12" ht="15" customHeight="1">
      <c r="A12" t="inlineStr">
        <is>
          <t>A 49150-2021</t>
        </is>
      </c>
      <c r="B12" s="1" t="n">
        <v>44454</v>
      </c>
      <c r="C12" s="1" t="n">
        <v>45807</v>
      </c>
      <c r="D12" t="inlineStr">
        <is>
          <t>DALARNAS LÄN</t>
        </is>
      </c>
      <c r="E12" t="inlineStr">
        <is>
          <t>AVESTA</t>
        </is>
      </c>
      <c r="F12" t="inlineStr">
        <is>
          <t>Sveaskog</t>
        </is>
      </c>
      <c r="G12" t="n">
        <v>2.5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Ostticka
Gropticka
Revlummer</t>
        </is>
      </c>
      <c r="S12">
        <f>HYPERLINK("https://klasma.github.io/Logging_2084/artfynd/A 49150-2021 artfynd.xlsx", "A 49150-2021")</f>
        <v/>
      </c>
      <c r="T12">
        <f>HYPERLINK("https://klasma.github.io/Logging_2084/kartor/A 49150-2021 karta.png", "A 49150-2021")</f>
        <v/>
      </c>
      <c r="V12">
        <f>HYPERLINK("https://klasma.github.io/Logging_2084/klagomål/A 49150-2021 FSC-klagomål.docx", "A 49150-2021")</f>
        <v/>
      </c>
      <c r="W12">
        <f>HYPERLINK("https://klasma.github.io/Logging_2084/klagomålsmail/A 49150-2021 FSC-klagomål mail.docx", "A 49150-2021")</f>
        <v/>
      </c>
      <c r="X12">
        <f>HYPERLINK("https://klasma.github.io/Logging_2084/tillsyn/A 49150-2021 tillsynsbegäran.docx", "A 49150-2021")</f>
        <v/>
      </c>
      <c r="Y12">
        <f>HYPERLINK("https://klasma.github.io/Logging_2084/tillsynsmail/A 49150-2021 tillsynsbegäran mail.docx", "A 49150-2021")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45807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26804-2024</t>
        </is>
      </c>
      <c r="B14" s="1" t="n">
        <v>45470</v>
      </c>
      <c r="C14" s="1" t="n">
        <v>45807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Vattenfladdermus</t>
        </is>
      </c>
      <c r="S14">
        <f>HYPERLINK("https://klasma.github.io/Logging_2084/artfynd/A 26804-2024 artfynd.xlsx", "A 26804-2024")</f>
        <v/>
      </c>
      <c r="T14">
        <f>HYPERLINK("https://klasma.github.io/Logging_2084/kartor/A 26804-2024 karta.png", "A 26804-2024")</f>
        <v/>
      </c>
      <c r="U14">
        <f>HYPERLINK("https://klasma.github.io/Logging_2084/knärot/A 26804-2024 karta knärot.png", "A 26804-2024")</f>
        <v/>
      </c>
      <c r="V14">
        <f>HYPERLINK("https://klasma.github.io/Logging_2084/klagomål/A 26804-2024 FSC-klagomål.docx", "A 26804-2024")</f>
        <v/>
      </c>
      <c r="W14">
        <f>HYPERLINK("https://klasma.github.io/Logging_2084/klagomålsmail/A 26804-2024 FSC-klagomål mail.docx", "A 26804-2024")</f>
        <v/>
      </c>
      <c r="X14">
        <f>HYPERLINK("https://klasma.github.io/Logging_2084/tillsyn/A 26804-2024 tillsynsbegäran.docx", "A 26804-2024")</f>
        <v/>
      </c>
      <c r="Y14">
        <f>HYPERLINK("https://klasma.github.io/Logging_2084/tillsynsmail/A 26804-2024 tillsynsbegäran mail.docx", "A 26804-2024")</f>
        <v/>
      </c>
    </row>
    <row r="15" ht="15" customHeight="1">
      <c r="A15" t="inlineStr">
        <is>
          <t>A 60367-2024</t>
        </is>
      </c>
      <c r="B15" s="1" t="n">
        <v>45643</v>
      </c>
      <c r="C15" s="1" t="n">
        <v>45807</v>
      </c>
      <c r="D15" t="inlineStr">
        <is>
          <t>DALARNAS LÄN</t>
        </is>
      </c>
      <c r="E15" t="inlineStr">
        <is>
          <t>AVESTA</t>
        </is>
      </c>
      <c r="G15" t="n">
        <v>10.1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Grönpyrola
Plattlummer</t>
        </is>
      </c>
      <c r="S15">
        <f>HYPERLINK("https://klasma.github.io/Logging_2084/artfynd/A 60367-2024 artfynd.xlsx", "A 60367-2024")</f>
        <v/>
      </c>
      <c r="T15">
        <f>HYPERLINK("https://klasma.github.io/Logging_2084/kartor/A 60367-2024 karta.png", "A 60367-2024")</f>
        <v/>
      </c>
      <c r="U15">
        <f>HYPERLINK("https://klasma.github.io/Logging_2084/knärot/A 60367-2024 karta knärot.png", "A 60367-2024")</f>
        <v/>
      </c>
      <c r="V15">
        <f>HYPERLINK("https://klasma.github.io/Logging_2084/klagomål/A 60367-2024 FSC-klagomål.docx", "A 60367-2024")</f>
        <v/>
      </c>
      <c r="W15">
        <f>HYPERLINK("https://klasma.github.io/Logging_2084/klagomålsmail/A 60367-2024 FSC-klagomål mail.docx", "A 60367-2024")</f>
        <v/>
      </c>
      <c r="X15">
        <f>HYPERLINK("https://klasma.github.io/Logging_2084/tillsyn/A 60367-2024 tillsynsbegäran.docx", "A 60367-2024")</f>
        <v/>
      </c>
      <c r="Y15">
        <f>HYPERLINK("https://klasma.github.io/Logging_2084/tillsynsmail/A 60367-2024 tillsynsbegäran mail.docx", "A 60367-2024")</f>
        <v/>
      </c>
    </row>
    <row r="16" ht="15" customHeight="1">
      <c r="A16" t="inlineStr">
        <is>
          <t>A 67066-2019</t>
        </is>
      </c>
      <c r="B16" s="1" t="n">
        <v>43805</v>
      </c>
      <c r="C16" s="1" t="n">
        <v>45807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HYPERLINK("https://klasma.github.io/Logging_2084/artfynd/A 67066-2019 artfynd.xlsx", "A 67066-2019")</f>
        <v/>
      </c>
      <c r="T16">
        <f>HYPERLINK("https://klasma.github.io/Logging_2084/kartor/A 67066-2019 karta.png", "A 67066-2019")</f>
        <v/>
      </c>
      <c r="V16">
        <f>HYPERLINK("https://klasma.github.io/Logging_2084/klagomål/A 67066-2019 FSC-klagomål.docx", "A 67066-2019")</f>
        <v/>
      </c>
      <c r="W16">
        <f>HYPERLINK("https://klasma.github.io/Logging_2084/klagomålsmail/A 67066-2019 FSC-klagomål mail.docx", "A 67066-2019")</f>
        <v/>
      </c>
      <c r="X16">
        <f>HYPERLINK("https://klasma.github.io/Logging_2084/tillsyn/A 67066-2019 tillsynsbegäran.docx", "A 67066-2019")</f>
        <v/>
      </c>
      <c r="Y16">
        <f>HYPERLINK("https://klasma.github.io/Logging_2084/tillsynsmail/A 67066-2019 tillsynsbegäran mail.docx", "A 67066-2019")</f>
        <v/>
      </c>
    </row>
    <row r="17" ht="15" customHeight="1">
      <c r="A17" t="inlineStr">
        <is>
          <t>A 1688-2022</t>
        </is>
      </c>
      <c r="B17" s="1" t="n">
        <v>44574</v>
      </c>
      <c r="C17" s="1" t="n">
        <v>45807</v>
      </c>
      <c r="D17" t="inlineStr">
        <is>
          <t>DALARNAS LÄN</t>
        </is>
      </c>
      <c r="E17" t="inlineStr">
        <is>
          <t>AVESTA</t>
        </is>
      </c>
      <c r="G17" t="n">
        <v>10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HYPERLINK("https://klasma.github.io/Logging_2084/artfynd/A 1688-2022 artfynd.xlsx", "A 1688-2022")</f>
        <v/>
      </c>
      <c r="T17">
        <f>HYPERLINK("https://klasma.github.io/Logging_2084/kartor/A 1688-2022 karta.png", "A 1688-2022")</f>
        <v/>
      </c>
      <c r="U17">
        <f>HYPERLINK("https://klasma.github.io/Logging_2084/knärot/A 1688-2022 karta knärot.png", "A 1688-2022")</f>
        <v/>
      </c>
      <c r="V17">
        <f>HYPERLINK("https://klasma.github.io/Logging_2084/klagomål/A 1688-2022 FSC-klagomål.docx", "A 1688-2022")</f>
        <v/>
      </c>
      <c r="W17">
        <f>HYPERLINK("https://klasma.github.io/Logging_2084/klagomålsmail/A 1688-2022 FSC-klagomål mail.docx", "A 1688-2022")</f>
        <v/>
      </c>
      <c r="X17">
        <f>HYPERLINK("https://klasma.github.io/Logging_2084/tillsyn/A 1688-2022 tillsynsbegäran.docx", "A 1688-2022")</f>
        <v/>
      </c>
      <c r="Y17">
        <f>HYPERLINK("https://klasma.github.io/Logging_2084/tillsynsmail/A 1688-2022 tillsynsbegäran mail.docx", "A 1688-2022")</f>
        <v/>
      </c>
      <c r="Z17">
        <f>HYPERLINK("https://klasma.github.io/Logging_2084/fåglar/A 1688-2022 prioriterade fågelarter.docx", "A 1688-2022")</f>
        <v/>
      </c>
    </row>
    <row r="18" ht="15" customHeight="1">
      <c r="A18" t="inlineStr">
        <is>
          <t>A 25180-2022</t>
        </is>
      </c>
      <c r="B18" s="1" t="n">
        <v>44729</v>
      </c>
      <c r="C18" s="1" t="n">
        <v>45807</v>
      </c>
      <c r="D18" t="inlineStr">
        <is>
          <t>DALARNAS LÄN</t>
        </is>
      </c>
      <c r="E18" t="inlineStr">
        <is>
          <t>AVESTA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Gröngöling</t>
        </is>
      </c>
      <c r="S18">
        <f>HYPERLINK("https://klasma.github.io/Logging_2084/artfynd/A 25180-2022 artfynd.xlsx", "A 25180-2022")</f>
        <v/>
      </c>
      <c r="T18">
        <f>HYPERLINK("https://klasma.github.io/Logging_2084/kartor/A 25180-2022 karta.png", "A 25180-2022")</f>
        <v/>
      </c>
      <c r="V18">
        <f>HYPERLINK("https://klasma.github.io/Logging_2084/klagomål/A 25180-2022 FSC-klagomål.docx", "A 25180-2022")</f>
        <v/>
      </c>
      <c r="W18">
        <f>HYPERLINK("https://klasma.github.io/Logging_2084/klagomålsmail/A 25180-2022 FSC-klagomål mail.docx", "A 25180-2022")</f>
        <v/>
      </c>
      <c r="X18">
        <f>HYPERLINK("https://klasma.github.io/Logging_2084/tillsyn/A 25180-2022 tillsynsbegäran.docx", "A 25180-2022")</f>
        <v/>
      </c>
      <c r="Y18">
        <f>HYPERLINK("https://klasma.github.io/Logging_2084/tillsynsmail/A 25180-2022 tillsynsbegäran mail.docx", "A 25180-2022")</f>
        <v/>
      </c>
      <c r="Z18">
        <f>HYPERLINK("https://klasma.github.io/Logging_2084/fåglar/A 25180-2022 prioriterade fågelarter.docx", "A 25180-2022")</f>
        <v/>
      </c>
    </row>
    <row r="19" ht="15" customHeight="1">
      <c r="A19" t="inlineStr">
        <is>
          <t>A 31017-2022</t>
        </is>
      </c>
      <c r="B19" s="1" t="n">
        <v>44768</v>
      </c>
      <c r="C19" s="1" t="n">
        <v>45807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6.8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Mönjevaxing</t>
        </is>
      </c>
      <c r="S19">
        <f>HYPERLINK("https://klasma.github.io/Logging_2084/artfynd/A 31017-2022 artfynd.xlsx", "A 31017-2022")</f>
        <v/>
      </c>
      <c r="T19">
        <f>HYPERLINK("https://klasma.github.io/Logging_2084/kartor/A 31017-2022 karta.png", "A 31017-2022")</f>
        <v/>
      </c>
      <c r="V19">
        <f>HYPERLINK("https://klasma.github.io/Logging_2084/klagomål/A 31017-2022 FSC-klagomål.docx", "A 31017-2022")</f>
        <v/>
      </c>
      <c r="W19">
        <f>HYPERLINK("https://klasma.github.io/Logging_2084/klagomålsmail/A 31017-2022 FSC-klagomål mail.docx", "A 31017-2022")</f>
        <v/>
      </c>
      <c r="X19">
        <f>HYPERLINK("https://klasma.github.io/Logging_2084/tillsyn/A 31017-2022 tillsynsbegäran.docx", "A 31017-2022")</f>
        <v/>
      </c>
      <c r="Y19">
        <f>HYPERLINK("https://klasma.github.io/Logging_2084/tillsynsmail/A 31017-2022 tillsynsbegäran mail.docx", "A 31017-2022")</f>
        <v/>
      </c>
    </row>
    <row r="20" ht="15" customHeight="1">
      <c r="A20" t="inlineStr">
        <is>
          <t>A 31009-2023</t>
        </is>
      </c>
      <c r="B20" s="1" t="n">
        <v>45103</v>
      </c>
      <c r="C20" s="1" t="n">
        <v>45807</v>
      </c>
      <c r="D20" t="inlineStr">
        <is>
          <t>DALARNAS LÄN</t>
        </is>
      </c>
      <c r="E20" t="inlineStr">
        <is>
          <t>AVESTA</t>
        </is>
      </c>
      <c r="F20" t="inlineStr">
        <is>
          <t>Bergvik skog väst AB</t>
        </is>
      </c>
      <c r="G20" t="n">
        <v>46.4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Jättesvampmal
Blåsippa</t>
        </is>
      </c>
      <c r="S20">
        <f>HYPERLINK("https://klasma.github.io/Logging_2084/artfynd/A 31009-2023 artfynd.xlsx", "A 31009-2023")</f>
        <v/>
      </c>
      <c r="T20">
        <f>HYPERLINK("https://klasma.github.io/Logging_2084/kartor/A 31009-2023 karta.png", "A 31009-2023")</f>
        <v/>
      </c>
      <c r="V20">
        <f>HYPERLINK("https://klasma.github.io/Logging_2084/klagomål/A 31009-2023 FSC-klagomål.docx", "A 31009-2023")</f>
        <v/>
      </c>
      <c r="W20">
        <f>HYPERLINK("https://klasma.github.io/Logging_2084/klagomålsmail/A 31009-2023 FSC-klagomål mail.docx", "A 31009-2023")</f>
        <v/>
      </c>
      <c r="X20">
        <f>HYPERLINK("https://klasma.github.io/Logging_2084/tillsyn/A 31009-2023 tillsynsbegäran.docx", "A 31009-2023")</f>
        <v/>
      </c>
      <c r="Y20">
        <f>HYPERLINK("https://klasma.github.io/Logging_2084/tillsynsmail/A 31009-2023 tillsynsbegäran mail.docx", "A 31009-2023")</f>
        <v/>
      </c>
    </row>
    <row r="21" ht="15" customHeight="1">
      <c r="A21" t="inlineStr">
        <is>
          <t>A 59921-2023</t>
        </is>
      </c>
      <c r="B21" s="1" t="n">
        <v>45257</v>
      </c>
      <c r="C21" s="1" t="n">
        <v>45807</v>
      </c>
      <c r="D21" t="inlineStr">
        <is>
          <t>DALARNAS LÄN</t>
        </is>
      </c>
      <c r="E21" t="inlineStr">
        <is>
          <t>AVESTA</t>
        </is>
      </c>
      <c r="G21" t="n">
        <v>0.4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Talltita</t>
        </is>
      </c>
      <c r="S21">
        <f>HYPERLINK("https://klasma.github.io/Logging_2084/artfynd/A 59921-2023 artfynd.xlsx", "A 59921-2023")</f>
        <v/>
      </c>
      <c r="T21">
        <f>HYPERLINK("https://klasma.github.io/Logging_2084/kartor/A 59921-2023 karta.png", "A 59921-2023")</f>
        <v/>
      </c>
      <c r="V21">
        <f>HYPERLINK("https://klasma.github.io/Logging_2084/klagomål/A 59921-2023 FSC-klagomål.docx", "A 59921-2023")</f>
        <v/>
      </c>
      <c r="W21">
        <f>HYPERLINK("https://klasma.github.io/Logging_2084/klagomålsmail/A 59921-2023 FSC-klagomål mail.docx", "A 59921-2023")</f>
        <v/>
      </c>
      <c r="X21">
        <f>HYPERLINK("https://klasma.github.io/Logging_2084/tillsyn/A 59921-2023 tillsynsbegäran.docx", "A 59921-2023")</f>
        <v/>
      </c>
      <c r="Y21">
        <f>HYPERLINK("https://klasma.github.io/Logging_2084/tillsynsmail/A 59921-2023 tillsynsbegäran mail.docx", "A 59921-2023")</f>
        <v/>
      </c>
      <c r="Z21">
        <f>HYPERLINK("https://klasma.github.io/Logging_2084/fåglar/A 59921-2023 prioriterade fågelarter.docx", "A 59921-2023")</f>
        <v/>
      </c>
    </row>
    <row r="22" ht="15" customHeight="1">
      <c r="A22" t="inlineStr">
        <is>
          <t>A 20890-2025</t>
        </is>
      </c>
      <c r="B22" s="1" t="n">
        <v>45777</v>
      </c>
      <c r="C22" s="1" t="n">
        <v>45807</v>
      </c>
      <c r="D22" t="inlineStr">
        <is>
          <t>DALARNAS LÄN</t>
        </is>
      </c>
      <c r="E22" t="inlineStr">
        <is>
          <t>AVESTA</t>
        </is>
      </c>
      <c r="G22" t="n">
        <v>6.8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Vedticka</t>
        </is>
      </c>
      <c r="S22">
        <f>HYPERLINK("https://klasma.github.io/Logging_202084/artfynd/A 20890-2025 artfynd.xlsx", "A 20890-2025")</f>
        <v/>
      </c>
      <c r="T22">
        <f>HYPERLINK("https://klasma.github.io/Logging_202084/kartor/A 20890-2025 karta.png", "A 20890-2025")</f>
        <v/>
      </c>
      <c r="V22">
        <f>HYPERLINK("https://klasma.github.io/Logging_202084/klagomål/A 20890-2025 FSC-klagomål.docx", "A 20890-2025")</f>
        <v/>
      </c>
      <c r="W22">
        <f>HYPERLINK("https://klasma.github.io/Logging_202084/klagomålsmail/A 20890-2025 FSC-klagomål mail.docx", "A 20890-2025")</f>
        <v/>
      </c>
      <c r="X22">
        <f>HYPERLINK("https://klasma.github.io/Logging_202084/tillsyn/A 20890-2025 tillsynsbegäran.docx", "A 20890-2025")</f>
        <v/>
      </c>
      <c r="Y22">
        <f>HYPERLINK("https://klasma.github.io/Logging_202084/tillsynsmail/A 20890-2025 tillsynsbegäran mail.docx", "A 20890-2025")</f>
        <v/>
      </c>
    </row>
    <row r="23" ht="15" customHeight="1">
      <c r="A23" t="inlineStr">
        <is>
          <t>A 35578-2019</t>
        </is>
      </c>
      <c r="B23" s="1" t="n">
        <v>43664</v>
      </c>
      <c r="C23" s="1" t="n">
        <v>45807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HYPERLINK("https://klasma.github.io/Logging_2084/artfynd/A 35578-2019 artfynd.xlsx", "A 35578-2019")</f>
        <v/>
      </c>
      <c r="T23">
        <f>HYPERLINK("https://klasma.github.io/Logging_2084/kartor/A 35578-2019 karta.png", "A 35578-2019")</f>
        <v/>
      </c>
      <c r="V23">
        <f>HYPERLINK("https://klasma.github.io/Logging_2084/klagomål/A 35578-2019 FSC-klagomål.docx", "A 35578-2019")</f>
        <v/>
      </c>
      <c r="W23">
        <f>HYPERLINK("https://klasma.github.io/Logging_2084/klagomålsmail/A 35578-2019 FSC-klagomål mail.docx", "A 35578-2019")</f>
        <v/>
      </c>
      <c r="X23">
        <f>HYPERLINK("https://klasma.github.io/Logging_2084/tillsyn/A 35578-2019 tillsynsbegäran.docx", "A 35578-2019")</f>
        <v/>
      </c>
      <c r="Y23">
        <f>HYPERLINK("https://klasma.github.io/Logging_2084/tillsynsmail/A 35578-2019 tillsynsbegäran mail.docx", "A 35578-2019")</f>
        <v/>
      </c>
      <c r="Z23">
        <f>HYPERLINK("https://klasma.github.io/Logging_2084/fåglar/A 35578-2019 prioriterade fågelarter.docx", "A 35578-2019")</f>
        <v/>
      </c>
    </row>
    <row r="24" ht="15" customHeight="1">
      <c r="A24" t="inlineStr">
        <is>
          <t>A 4998-2020</t>
        </is>
      </c>
      <c r="B24" s="1" t="n">
        <v>43859</v>
      </c>
      <c r="C24" s="1" t="n">
        <v>45807</v>
      </c>
      <c r="D24" t="inlineStr">
        <is>
          <t>DALARNAS LÄN</t>
        </is>
      </c>
      <c r="E24" t="inlineStr">
        <is>
          <t>AVESTA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4998-2020 artfynd.xlsx", "A 4998-2020")</f>
        <v/>
      </c>
      <c r="T24">
        <f>HYPERLINK("https://klasma.github.io/Logging_2084/kartor/A 4998-2020 karta.png", "A 4998-2020")</f>
        <v/>
      </c>
      <c r="U24">
        <f>HYPERLINK("https://klasma.github.io/Logging_2084/knärot/A 4998-2020 karta knärot.png", "A 4998-2020")</f>
        <v/>
      </c>
      <c r="V24">
        <f>HYPERLINK("https://klasma.github.io/Logging_2084/klagomål/A 4998-2020 FSC-klagomål.docx", "A 4998-2020")</f>
        <v/>
      </c>
      <c r="W24">
        <f>HYPERLINK("https://klasma.github.io/Logging_2084/klagomålsmail/A 4998-2020 FSC-klagomål mail.docx", "A 4998-2020")</f>
        <v/>
      </c>
      <c r="X24">
        <f>HYPERLINK("https://klasma.github.io/Logging_2084/tillsyn/A 4998-2020 tillsynsbegäran.docx", "A 4998-2020")</f>
        <v/>
      </c>
      <c r="Y24">
        <f>HYPERLINK("https://klasma.github.io/Logging_2084/tillsynsmail/A 4998-2020 tillsynsbegäran mail.docx", "A 4998-2020")</f>
        <v/>
      </c>
    </row>
    <row r="25" ht="15" customHeight="1">
      <c r="A25" t="inlineStr">
        <is>
          <t>A 42701-2021</t>
        </is>
      </c>
      <c r="B25" s="1" t="n">
        <v>44428</v>
      </c>
      <c r="C25" s="1" t="n">
        <v>45807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HYPERLINK("https://klasma.github.io/Logging_2084/artfynd/A 42701-2021 artfynd.xlsx", "A 42701-2021")</f>
        <v/>
      </c>
      <c r="T25">
        <f>HYPERLINK("https://klasma.github.io/Logging_2084/kartor/A 42701-2021 karta.png", "A 42701-2021")</f>
        <v/>
      </c>
      <c r="V25">
        <f>HYPERLINK("https://klasma.github.io/Logging_2084/klagomål/A 42701-2021 FSC-klagomål.docx", "A 42701-2021")</f>
        <v/>
      </c>
      <c r="W25">
        <f>HYPERLINK("https://klasma.github.io/Logging_2084/klagomålsmail/A 42701-2021 FSC-klagomål mail.docx", "A 42701-2021")</f>
        <v/>
      </c>
      <c r="X25">
        <f>HYPERLINK("https://klasma.github.io/Logging_2084/tillsyn/A 42701-2021 tillsynsbegäran.docx", "A 42701-2021")</f>
        <v/>
      </c>
      <c r="Y25">
        <f>HYPERLINK("https://klasma.github.io/Logging_2084/tillsynsmail/A 42701-2021 tillsynsbegäran mail.docx", "A 42701-2021")</f>
        <v/>
      </c>
    </row>
    <row r="26" ht="15" customHeight="1">
      <c r="A26" t="inlineStr">
        <is>
          <t>A 45604-2021</t>
        </is>
      </c>
      <c r="B26" s="1" t="n">
        <v>44440</v>
      </c>
      <c r="C26" s="1" t="n">
        <v>45807</v>
      </c>
      <c r="D26" t="inlineStr">
        <is>
          <t>DALARNAS LÄN</t>
        </is>
      </c>
      <c r="E26" t="inlineStr">
        <is>
          <t>AVESTA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timmerman</t>
        </is>
      </c>
      <c r="S26">
        <f>HYPERLINK("https://klasma.github.io/Logging_2084/artfynd/A 45604-2021 artfynd.xlsx", "A 45604-2021")</f>
        <v/>
      </c>
      <c r="T26">
        <f>HYPERLINK("https://klasma.github.io/Logging_2084/kartor/A 45604-2021 karta.png", "A 45604-2021")</f>
        <v/>
      </c>
      <c r="V26">
        <f>HYPERLINK("https://klasma.github.io/Logging_2084/klagomål/A 45604-2021 FSC-klagomål.docx", "A 45604-2021")</f>
        <v/>
      </c>
      <c r="W26">
        <f>HYPERLINK("https://klasma.github.io/Logging_2084/klagomålsmail/A 45604-2021 FSC-klagomål mail.docx", "A 45604-2021")</f>
        <v/>
      </c>
      <c r="X26">
        <f>HYPERLINK("https://klasma.github.io/Logging_2084/tillsyn/A 45604-2021 tillsynsbegäran.docx", "A 45604-2021")</f>
        <v/>
      </c>
      <c r="Y26">
        <f>HYPERLINK("https://klasma.github.io/Logging_2084/tillsynsmail/A 45604-2021 tillsynsbegäran mail.docx", "A 45604-2021")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45807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12997-2022</t>
        </is>
      </c>
      <c r="B28" s="1" t="n">
        <v>44643</v>
      </c>
      <c r="C28" s="1" t="n">
        <v>45807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HYPERLINK("https://klasma.github.io/Logging_2084/artfynd/A 12997-2022 artfynd.xlsx", "A 12997-2022")</f>
        <v/>
      </c>
      <c r="T28">
        <f>HYPERLINK("https://klasma.github.io/Logging_2084/kartor/A 12997-2022 karta.png", "A 12997-2022")</f>
        <v/>
      </c>
      <c r="V28">
        <f>HYPERLINK("https://klasma.github.io/Logging_2084/klagomål/A 12997-2022 FSC-klagomål.docx", "A 12997-2022")</f>
        <v/>
      </c>
      <c r="W28">
        <f>HYPERLINK("https://klasma.github.io/Logging_2084/klagomålsmail/A 12997-2022 FSC-klagomål mail.docx", "A 12997-2022")</f>
        <v/>
      </c>
      <c r="X28">
        <f>HYPERLINK("https://klasma.github.io/Logging_2084/tillsyn/A 12997-2022 tillsynsbegäran.docx", "A 12997-2022")</f>
        <v/>
      </c>
      <c r="Y28">
        <f>HYPERLINK("https://klasma.github.io/Logging_2084/tillsynsmail/A 12997-2022 tillsynsbegäran mail.docx", "A 12997-2022")</f>
        <v/>
      </c>
      <c r="Z28">
        <f>HYPERLINK("https://klasma.github.io/Logging_2084/fåglar/A 12997-2022 prioriterade fågelarter.docx", "A 12997-2022")</f>
        <v/>
      </c>
    </row>
    <row r="29" ht="15" customHeight="1">
      <c r="A29" t="inlineStr">
        <is>
          <t>A 12357-2023</t>
        </is>
      </c>
      <c r="B29" s="1" t="n">
        <v>44999</v>
      </c>
      <c r="C29" s="1" t="n">
        <v>45807</v>
      </c>
      <c r="D29" t="inlineStr">
        <is>
          <t>DALARNAS LÄN</t>
        </is>
      </c>
      <c r="E29" t="inlineStr">
        <is>
          <t>AVESTA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HYPERLINK("https://klasma.github.io/Logging_2084/artfynd/A 12357-2023 artfynd.xlsx", "A 12357-2023")</f>
        <v/>
      </c>
      <c r="T29">
        <f>HYPERLINK("https://klasma.github.io/Logging_2084/kartor/A 12357-2023 karta.png", "A 12357-2023")</f>
        <v/>
      </c>
      <c r="V29">
        <f>HYPERLINK("https://klasma.github.io/Logging_2084/klagomål/A 12357-2023 FSC-klagomål.docx", "A 12357-2023")</f>
        <v/>
      </c>
      <c r="W29">
        <f>HYPERLINK("https://klasma.github.io/Logging_2084/klagomålsmail/A 12357-2023 FSC-klagomål mail.docx", "A 12357-2023")</f>
        <v/>
      </c>
      <c r="X29">
        <f>HYPERLINK("https://klasma.github.io/Logging_2084/tillsyn/A 12357-2023 tillsynsbegäran.docx", "A 12357-2023")</f>
        <v/>
      </c>
      <c r="Y29">
        <f>HYPERLINK("https://klasma.github.io/Logging_2084/tillsynsmail/A 12357-2023 tillsynsbegäran mail.docx", "A 12357-2023")</f>
        <v/>
      </c>
      <c r="Z29">
        <f>HYPERLINK("https://klasma.github.io/Logging_2084/fåglar/A 12357-2023 prioriterade fågelarter.docx", "A 12357-2023")</f>
        <v/>
      </c>
    </row>
    <row r="30" ht="15" customHeight="1">
      <c r="A30" t="inlineStr">
        <is>
          <t>A 41888-2023</t>
        </is>
      </c>
      <c r="B30" s="1" t="n">
        <v>45176</v>
      </c>
      <c r="C30" s="1" t="n">
        <v>45807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HYPERLINK("https://klasma.github.io/Logging_2084/artfynd/A 41888-2023 artfynd.xlsx", "A 41888-2023")</f>
        <v/>
      </c>
      <c r="T30">
        <f>HYPERLINK("https://klasma.github.io/Logging_2084/kartor/A 41888-2023 karta.png", "A 41888-2023")</f>
        <v/>
      </c>
      <c r="V30">
        <f>HYPERLINK("https://klasma.github.io/Logging_2084/klagomål/A 41888-2023 FSC-klagomål.docx", "A 41888-2023")</f>
        <v/>
      </c>
      <c r="W30">
        <f>HYPERLINK("https://klasma.github.io/Logging_2084/klagomålsmail/A 41888-2023 FSC-klagomål mail.docx", "A 41888-2023")</f>
        <v/>
      </c>
      <c r="X30">
        <f>HYPERLINK("https://klasma.github.io/Logging_2084/tillsyn/A 41888-2023 tillsynsbegäran.docx", "A 41888-2023")</f>
        <v/>
      </c>
      <c r="Y30">
        <f>HYPERLINK("https://klasma.github.io/Logging_2084/tillsynsmail/A 41888-2023 tillsynsbegäran mail.docx", "A 41888-2023")</f>
        <v/>
      </c>
    </row>
    <row r="31" ht="15" customHeight="1">
      <c r="A31" t="inlineStr">
        <is>
          <t>A 43454-2023</t>
        </is>
      </c>
      <c r="B31" s="1" t="n">
        <v>45184</v>
      </c>
      <c r="C31" s="1" t="n">
        <v>45807</v>
      </c>
      <c r="D31" t="inlineStr">
        <is>
          <t>DALARNAS LÄN</t>
        </is>
      </c>
      <c r="E31" t="inlineStr">
        <is>
          <t>AVESTA</t>
        </is>
      </c>
      <c r="G31" t="n">
        <v>3.3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HYPERLINK("https://klasma.github.io/Logging_2084/artfynd/A 43454-2023 artfynd.xlsx", "A 43454-2023")</f>
        <v/>
      </c>
      <c r="T31">
        <f>HYPERLINK("https://klasma.github.io/Logging_2084/kartor/A 43454-2023 karta.png", "A 43454-2023")</f>
        <v/>
      </c>
      <c r="V31">
        <f>HYPERLINK("https://klasma.github.io/Logging_2084/klagomål/A 43454-2023 FSC-klagomål.docx", "A 43454-2023")</f>
        <v/>
      </c>
      <c r="W31">
        <f>HYPERLINK("https://klasma.github.io/Logging_2084/klagomålsmail/A 43454-2023 FSC-klagomål mail.docx", "A 43454-2023")</f>
        <v/>
      </c>
      <c r="X31">
        <f>HYPERLINK("https://klasma.github.io/Logging_2084/tillsyn/A 43454-2023 tillsynsbegäran.docx", "A 43454-2023")</f>
        <v/>
      </c>
      <c r="Y31">
        <f>HYPERLINK("https://klasma.github.io/Logging_2084/tillsynsmail/A 43454-2023 tillsynsbegäran mail.docx", "A 43454-2023")</f>
        <v/>
      </c>
      <c r="Z31">
        <f>HYPERLINK("https://klasma.github.io/Logging_2084/fåglar/A 43454-2023 prioriterade fågelarter.docx", "A 43454-2023")</f>
        <v/>
      </c>
    </row>
    <row r="32" ht="15" customHeight="1">
      <c r="A32" t="inlineStr">
        <is>
          <t>A 43773-2023</t>
        </is>
      </c>
      <c r="B32" s="1" t="n">
        <v>45187</v>
      </c>
      <c r="C32" s="1" t="n">
        <v>45807</v>
      </c>
      <c r="D32" t="inlineStr">
        <is>
          <t>DALARNAS LÄN</t>
        </is>
      </c>
      <c r="E32" t="inlineStr">
        <is>
          <t>AVESTA</t>
        </is>
      </c>
      <c r="G32" t="n">
        <v>8.199999999999999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HYPERLINK("https://klasma.github.io/Logging_2084/artfynd/A 43773-2023 artfynd.xlsx", "A 43773-2023")</f>
        <v/>
      </c>
      <c r="T32">
        <f>HYPERLINK("https://klasma.github.io/Logging_2084/kartor/A 43773-2023 karta.png", "A 43773-2023")</f>
        <v/>
      </c>
      <c r="U32">
        <f>HYPERLINK("https://klasma.github.io/Logging_2084/knärot/A 43773-2023 karta knärot.png", "A 43773-2023")</f>
        <v/>
      </c>
      <c r="V32">
        <f>HYPERLINK("https://klasma.github.io/Logging_2084/klagomål/A 43773-2023 FSC-klagomål.docx", "A 43773-2023")</f>
        <v/>
      </c>
      <c r="W32">
        <f>HYPERLINK("https://klasma.github.io/Logging_2084/klagomålsmail/A 43773-2023 FSC-klagomål mail.docx", "A 43773-2023")</f>
        <v/>
      </c>
      <c r="X32">
        <f>HYPERLINK("https://klasma.github.io/Logging_2084/tillsyn/A 43773-2023 tillsynsbegäran.docx", "A 43773-2023")</f>
        <v/>
      </c>
      <c r="Y32">
        <f>HYPERLINK("https://klasma.github.io/Logging_2084/tillsynsmail/A 43773-2023 tillsynsbegäran mail.docx", "A 43773-2023")</f>
        <v/>
      </c>
    </row>
    <row r="33" ht="15" customHeight="1">
      <c r="A33" t="inlineStr">
        <is>
          <t>A 56085-2023</t>
        </is>
      </c>
      <c r="B33" s="1" t="n">
        <v>45240</v>
      </c>
      <c r="C33" s="1" t="n">
        <v>45807</v>
      </c>
      <c r="D33" t="inlineStr">
        <is>
          <t>DALARNAS LÄN</t>
        </is>
      </c>
      <c r="E33" t="inlineStr">
        <is>
          <t>AVESTA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HYPERLINK("https://klasma.github.io/Logging_2084/artfynd/A 56085-2023 artfynd.xlsx", "A 56085-2023")</f>
        <v/>
      </c>
      <c r="T33">
        <f>HYPERLINK("https://klasma.github.io/Logging_2084/kartor/A 56085-2023 karta.png", "A 56085-2023")</f>
        <v/>
      </c>
      <c r="V33">
        <f>HYPERLINK("https://klasma.github.io/Logging_2084/klagomål/A 56085-2023 FSC-klagomål.docx", "A 56085-2023")</f>
        <v/>
      </c>
      <c r="W33">
        <f>HYPERLINK("https://klasma.github.io/Logging_2084/klagomålsmail/A 56085-2023 FSC-klagomål mail.docx", "A 56085-2023")</f>
        <v/>
      </c>
      <c r="X33">
        <f>HYPERLINK("https://klasma.github.io/Logging_2084/tillsyn/A 56085-2023 tillsynsbegäran.docx", "A 56085-2023")</f>
        <v/>
      </c>
      <c r="Y33">
        <f>HYPERLINK("https://klasma.github.io/Logging_2084/tillsynsmail/A 56085-2023 tillsynsbegäran mail.docx", "A 56085-2023")</f>
        <v/>
      </c>
    </row>
    <row r="34" ht="15" customHeight="1">
      <c r="A34" t="inlineStr">
        <is>
          <t>A 61850-2023</t>
        </is>
      </c>
      <c r="B34" s="1" t="n">
        <v>45266</v>
      </c>
      <c r="C34" s="1" t="n">
        <v>45807</v>
      </c>
      <c r="D34" t="inlineStr">
        <is>
          <t>DALARNAS LÄN</t>
        </is>
      </c>
      <c r="E34" t="inlineStr">
        <is>
          <t>AVESTA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HYPERLINK("https://klasma.github.io/Logging_2084/artfynd/A 61850-2023 artfynd.xlsx", "A 61850-2023")</f>
        <v/>
      </c>
      <c r="T34">
        <f>HYPERLINK("https://klasma.github.io/Logging_2084/kartor/A 61850-2023 karta.png", "A 61850-2023")</f>
        <v/>
      </c>
      <c r="U34">
        <f>HYPERLINK("https://klasma.github.io/Logging_2084/knärot/A 61850-2023 karta knärot.png", "A 61850-2023")</f>
        <v/>
      </c>
      <c r="V34">
        <f>HYPERLINK("https://klasma.github.io/Logging_2084/klagomål/A 61850-2023 FSC-klagomål.docx", "A 61850-2023")</f>
        <v/>
      </c>
      <c r="W34">
        <f>HYPERLINK("https://klasma.github.io/Logging_2084/klagomålsmail/A 61850-2023 FSC-klagomål mail.docx", "A 61850-2023")</f>
        <v/>
      </c>
      <c r="X34">
        <f>HYPERLINK("https://klasma.github.io/Logging_2084/tillsyn/A 61850-2023 tillsynsbegäran.docx", "A 61850-2023")</f>
        <v/>
      </c>
      <c r="Y34">
        <f>HYPERLINK("https://klasma.github.io/Logging_2084/tillsynsmail/A 61850-2023 tillsynsbegäran mail.docx", "A 61850-2023")</f>
        <v/>
      </c>
    </row>
    <row r="35" ht="15" customHeight="1">
      <c r="A35" t="inlineStr">
        <is>
          <t>A 5299-2024</t>
        </is>
      </c>
      <c r="B35" s="1" t="n">
        <v>45331</v>
      </c>
      <c r="C35" s="1" t="n">
        <v>45807</v>
      </c>
      <c r="D35" t="inlineStr">
        <is>
          <t>DALARNAS LÄN</t>
        </is>
      </c>
      <c r="E35" t="inlineStr">
        <is>
          <t>AVESTA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HYPERLINK("https://klasma.github.io/Logging_2084/artfynd/A 5299-2024 artfynd.xlsx", "A 5299-2024")</f>
        <v/>
      </c>
      <c r="T35">
        <f>HYPERLINK("https://klasma.github.io/Logging_2084/kartor/A 5299-2024 karta.png", "A 5299-2024")</f>
        <v/>
      </c>
      <c r="V35">
        <f>HYPERLINK("https://klasma.github.io/Logging_2084/klagomål/A 5299-2024 FSC-klagomål.docx", "A 5299-2024")</f>
        <v/>
      </c>
      <c r="W35">
        <f>HYPERLINK("https://klasma.github.io/Logging_2084/klagomålsmail/A 5299-2024 FSC-klagomål mail.docx", "A 5299-2024")</f>
        <v/>
      </c>
      <c r="X35">
        <f>HYPERLINK("https://klasma.github.io/Logging_2084/tillsyn/A 5299-2024 tillsynsbegäran.docx", "A 5299-2024")</f>
        <v/>
      </c>
      <c r="Y35">
        <f>HYPERLINK("https://klasma.github.io/Logging_2084/tillsynsmail/A 5299-2024 tillsynsbegäran mail.docx", "A 5299-2024")</f>
        <v/>
      </c>
    </row>
    <row r="36" ht="15" customHeight="1">
      <c r="A36" t="inlineStr">
        <is>
          <t>A 10943-2024</t>
        </is>
      </c>
      <c r="B36" s="1" t="n">
        <v>45370</v>
      </c>
      <c r="C36" s="1" t="n">
        <v>45807</v>
      </c>
      <c r="D36" t="inlineStr">
        <is>
          <t>DALARNAS LÄN</t>
        </is>
      </c>
      <c r="E36" t="inlineStr">
        <is>
          <t>AVESTA</t>
        </is>
      </c>
      <c r="G36" t="n">
        <v>8.5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HYPERLINK("https://klasma.github.io/Logging_2084/artfynd/A 10943-2024 artfynd.xlsx", "A 10943-2024")</f>
        <v/>
      </c>
      <c r="T36">
        <f>HYPERLINK("https://klasma.github.io/Logging_2084/kartor/A 10943-2024 karta.png", "A 10943-2024")</f>
        <v/>
      </c>
      <c r="V36">
        <f>HYPERLINK("https://klasma.github.io/Logging_2084/klagomål/A 10943-2024 FSC-klagomål.docx", "A 10943-2024")</f>
        <v/>
      </c>
      <c r="W36">
        <f>HYPERLINK("https://klasma.github.io/Logging_2084/klagomålsmail/A 10943-2024 FSC-klagomål mail.docx", "A 10943-2024")</f>
        <v/>
      </c>
      <c r="X36">
        <f>HYPERLINK("https://klasma.github.io/Logging_2084/tillsyn/A 10943-2024 tillsynsbegäran.docx", "A 10943-2024")</f>
        <v/>
      </c>
      <c r="Y36">
        <f>HYPERLINK("https://klasma.github.io/Logging_2084/tillsynsmail/A 10943-2024 tillsynsbegäran mail.docx", "A 10943-2024")</f>
        <v/>
      </c>
      <c r="Z36">
        <f>HYPERLINK("https://klasma.github.io/Logging_2084/fåglar/A 10943-2024 prioriterade fågelarter.docx", "A 10943-2024")</f>
        <v/>
      </c>
    </row>
    <row r="37" ht="15" customHeight="1">
      <c r="A37" t="inlineStr">
        <is>
          <t>A 20084-2024</t>
        </is>
      </c>
      <c r="B37" s="1" t="n">
        <v>45434</v>
      </c>
      <c r="C37" s="1" t="n">
        <v>45807</v>
      </c>
      <c r="D37" t="inlineStr">
        <is>
          <t>DALARNAS LÄN</t>
        </is>
      </c>
      <c r="E37" t="inlineStr">
        <is>
          <t>AVESTA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HYPERLINK("https://klasma.github.io/Logging_2084/artfynd/A 20084-2024 artfynd.xlsx", "A 20084-2024")</f>
        <v/>
      </c>
      <c r="T37">
        <f>HYPERLINK("https://klasma.github.io/Logging_2084/kartor/A 20084-2024 karta.png", "A 20084-2024")</f>
        <v/>
      </c>
      <c r="V37">
        <f>HYPERLINK("https://klasma.github.io/Logging_2084/klagomål/A 20084-2024 FSC-klagomål.docx", "A 20084-2024")</f>
        <v/>
      </c>
      <c r="W37">
        <f>HYPERLINK("https://klasma.github.io/Logging_2084/klagomålsmail/A 20084-2024 FSC-klagomål mail.docx", "A 20084-2024")</f>
        <v/>
      </c>
      <c r="X37">
        <f>HYPERLINK("https://klasma.github.io/Logging_2084/tillsyn/A 20084-2024 tillsynsbegäran.docx", "A 20084-2024")</f>
        <v/>
      </c>
      <c r="Y37">
        <f>HYPERLINK("https://klasma.github.io/Logging_2084/tillsynsmail/A 20084-2024 tillsynsbegäran mail.docx", "A 20084-2024")</f>
        <v/>
      </c>
    </row>
    <row r="38" ht="15" customHeight="1">
      <c r="A38" t="inlineStr">
        <is>
          <t>A 32609-2024</t>
        </is>
      </c>
      <c r="B38" s="1" t="n">
        <v>45513</v>
      </c>
      <c r="C38" s="1" t="n">
        <v>45807</v>
      </c>
      <c r="D38" t="inlineStr">
        <is>
          <t>DALARNAS LÄN</t>
        </is>
      </c>
      <c r="E38" t="inlineStr">
        <is>
          <t>AVESTA</t>
        </is>
      </c>
      <c r="G38" t="n">
        <v>4.4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HYPERLINK("https://klasma.github.io/Logging_2084/artfynd/A 32609-2024 artfynd.xlsx", "A 32609-2024")</f>
        <v/>
      </c>
      <c r="T38">
        <f>HYPERLINK("https://klasma.github.io/Logging_2084/kartor/A 32609-2024 karta.png", "A 32609-2024")</f>
        <v/>
      </c>
      <c r="V38">
        <f>HYPERLINK("https://klasma.github.io/Logging_2084/klagomål/A 32609-2024 FSC-klagomål.docx", "A 32609-2024")</f>
        <v/>
      </c>
      <c r="W38">
        <f>HYPERLINK("https://klasma.github.io/Logging_2084/klagomålsmail/A 32609-2024 FSC-klagomål mail.docx", "A 32609-2024")</f>
        <v/>
      </c>
      <c r="X38">
        <f>HYPERLINK("https://klasma.github.io/Logging_2084/tillsyn/A 32609-2024 tillsynsbegäran.docx", "A 32609-2024")</f>
        <v/>
      </c>
      <c r="Y38">
        <f>HYPERLINK("https://klasma.github.io/Logging_2084/tillsynsmail/A 32609-2024 tillsynsbegäran mail.docx", "A 32609-2024")</f>
        <v/>
      </c>
    </row>
    <row r="39" ht="15" customHeight="1">
      <c r="A39" t="inlineStr">
        <is>
          <t>A 32987-2024</t>
        </is>
      </c>
      <c r="B39" s="1" t="n">
        <v>45517</v>
      </c>
      <c r="C39" s="1" t="n">
        <v>45807</v>
      </c>
      <c r="D39" t="inlineStr">
        <is>
          <t>DALARNAS LÄN</t>
        </is>
      </c>
      <c r="E39" t="inlineStr">
        <is>
          <t>AVESTA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Guldlockmossa</t>
        </is>
      </c>
      <c r="S39">
        <f>HYPERLINK("https://klasma.github.io/Logging_2084/artfynd/A 32987-2024 artfynd.xlsx", "A 32987-2024")</f>
        <v/>
      </c>
      <c r="T39">
        <f>HYPERLINK("https://klasma.github.io/Logging_2084/kartor/A 32987-2024 karta.png", "A 32987-2024")</f>
        <v/>
      </c>
      <c r="V39">
        <f>HYPERLINK("https://klasma.github.io/Logging_2084/klagomål/A 32987-2024 FSC-klagomål.docx", "A 32987-2024")</f>
        <v/>
      </c>
      <c r="W39">
        <f>HYPERLINK("https://klasma.github.io/Logging_2084/klagomålsmail/A 32987-2024 FSC-klagomål mail.docx", "A 32987-2024")</f>
        <v/>
      </c>
      <c r="X39">
        <f>HYPERLINK("https://klasma.github.io/Logging_2084/tillsyn/A 32987-2024 tillsynsbegäran.docx", "A 32987-2024")</f>
        <v/>
      </c>
      <c r="Y39">
        <f>HYPERLINK("https://klasma.github.io/Logging_2084/tillsynsmail/A 32987-2024 tillsynsbegäran mail.docx", "A 32987-2024")</f>
        <v/>
      </c>
    </row>
    <row r="40" ht="15" customHeight="1">
      <c r="A40" t="inlineStr">
        <is>
          <t>A 33662-2024</t>
        </is>
      </c>
      <c r="B40" s="1" t="n">
        <v>45520</v>
      </c>
      <c r="C40" s="1" t="n">
        <v>45807</v>
      </c>
      <c r="D40" t="inlineStr">
        <is>
          <t>DALARNAS LÄN</t>
        </is>
      </c>
      <c r="E40" t="inlineStr">
        <is>
          <t>AVESTA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Sparvuggla</t>
        </is>
      </c>
      <c r="S40">
        <f>HYPERLINK("https://klasma.github.io/Logging_2084/artfynd/A 33662-2024 artfynd.xlsx", "A 33662-2024")</f>
        <v/>
      </c>
      <c r="T40">
        <f>HYPERLINK("https://klasma.github.io/Logging_2084/kartor/A 33662-2024 karta.png", "A 33662-2024")</f>
        <v/>
      </c>
      <c r="V40">
        <f>HYPERLINK("https://klasma.github.io/Logging_2084/klagomål/A 33662-2024 FSC-klagomål.docx", "A 33662-2024")</f>
        <v/>
      </c>
      <c r="W40">
        <f>HYPERLINK("https://klasma.github.io/Logging_2084/klagomålsmail/A 33662-2024 FSC-klagomål mail.docx", "A 33662-2024")</f>
        <v/>
      </c>
      <c r="X40">
        <f>HYPERLINK("https://klasma.github.io/Logging_2084/tillsyn/A 33662-2024 tillsynsbegäran.docx", "A 33662-2024")</f>
        <v/>
      </c>
      <c r="Y40">
        <f>HYPERLINK("https://klasma.github.io/Logging_2084/tillsynsmail/A 33662-2024 tillsynsbegäran mail.docx", "A 33662-2024")</f>
        <v/>
      </c>
      <c r="Z40">
        <f>HYPERLINK("https://klasma.github.io/Logging_2084/fåglar/A 33662-2024 prioriterade fågelarter.docx", "A 33662-2024")</f>
        <v/>
      </c>
    </row>
    <row r="41" ht="15" customHeight="1">
      <c r="A41" t="inlineStr">
        <is>
          <t>A 56786-2024</t>
        </is>
      </c>
      <c r="B41" s="1" t="n">
        <v>45628</v>
      </c>
      <c r="C41" s="1" t="n">
        <v>45807</v>
      </c>
      <c r="D41" t="inlineStr">
        <is>
          <t>DALARNAS LÄN</t>
        </is>
      </c>
      <c r="E41" t="inlineStr">
        <is>
          <t>AVESTA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HYPERLINK("https://klasma.github.io/Logging_2084/artfynd/A 56786-2024 artfynd.xlsx", "A 56786-2024")</f>
        <v/>
      </c>
      <c r="T41">
        <f>HYPERLINK("https://klasma.github.io/Logging_2084/kartor/A 56786-2024 karta.png", "A 56786-2024")</f>
        <v/>
      </c>
      <c r="U41">
        <f>HYPERLINK("https://klasma.github.io/Logging_2084/knärot/A 56786-2024 karta knärot.png", "A 56786-2024")</f>
        <v/>
      </c>
      <c r="V41">
        <f>HYPERLINK("https://klasma.github.io/Logging_2084/klagomål/A 56786-2024 FSC-klagomål.docx", "A 56786-2024")</f>
        <v/>
      </c>
      <c r="W41">
        <f>HYPERLINK("https://klasma.github.io/Logging_2084/klagomålsmail/A 56786-2024 FSC-klagomål mail.docx", "A 56786-2024")</f>
        <v/>
      </c>
      <c r="X41">
        <f>HYPERLINK("https://klasma.github.io/Logging_2084/tillsyn/A 56786-2024 tillsynsbegäran.docx", "A 56786-2024")</f>
        <v/>
      </c>
      <c r="Y41">
        <f>HYPERLINK("https://klasma.github.io/Logging_2084/tillsynsmail/A 56786-2024 tillsynsbegäran mail.docx", "A 56786-2024")</f>
        <v/>
      </c>
    </row>
    <row r="42" ht="15" customHeight="1">
      <c r="A42" t="inlineStr">
        <is>
          <t>A 17913-2025</t>
        </is>
      </c>
      <c r="B42" s="1" t="n">
        <v>45758</v>
      </c>
      <c r="C42" s="1" t="n">
        <v>45807</v>
      </c>
      <c r="D42" t="inlineStr">
        <is>
          <t>DALARNAS LÄN</t>
        </is>
      </c>
      <c r="E42" t="inlineStr">
        <is>
          <t>AVESTA</t>
        </is>
      </c>
      <c r="G42" t="n">
        <v>10.2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HYPERLINK("https://klasma.github.io/Logging_202084/artfynd/A 17913-2025 artfynd.xlsx", "A 17913-2025")</f>
        <v/>
      </c>
      <c r="T42">
        <f>HYPERLINK("https://klasma.github.io/Logging_202084/kartor/A 17913-2025 karta.png", "A 17913-2025")</f>
        <v/>
      </c>
      <c r="U42">
        <f>HYPERLINK("https://klasma.github.io/Logging_202084/knärot/A 17913-2025 karta knärot.png", "A 17913-2025")</f>
        <v/>
      </c>
      <c r="V42">
        <f>HYPERLINK("https://klasma.github.io/Logging_202084/klagomål/A 17913-2025 FSC-klagomål.docx", "A 17913-2025")</f>
        <v/>
      </c>
      <c r="W42">
        <f>HYPERLINK("https://klasma.github.io/Logging_202084/klagomålsmail/A 17913-2025 FSC-klagomål mail.docx", "A 17913-2025")</f>
        <v/>
      </c>
      <c r="X42">
        <f>HYPERLINK("https://klasma.github.io/Logging_202084/tillsyn/A 17913-2025 tillsynsbegäran.docx", "A 17913-2025")</f>
        <v/>
      </c>
      <c r="Y42">
        <f>HYPERLINK("https://klasma.github.io/Logging_202084/tillsynsmail/A 17913-2025 tillsynsbegäran mail.docx", "A 17913-2025")</f>
        <v/>
      </c>
    </row>
    <row r="43" ht="15" customHeight="1">
      <c r="A43" t="inlineStr">
        <is>
          <t>A 18152-2019</t>
        </is>
      </c>
      <c r="B43" s="1" t="n">
        <v>43558</v>
      </c>
      <c r="C43" s="1" t="n">
        <v>45807</v>
      </c>
      <c r="D43" t="inlineStr">
        <is>
          <t>DALARNAS LÄN</t>
        </is>
      </c>
      <c r="E43" t="inlineStr">
        <is>
          <t>AVESTA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18586-2019</t>
        </is>
      </c>
      <c r="B44" s="1" t="n">
        <v>43560</v>
      </c>
      <c r="C44" s="1" t="n">
        <v>45807</v>
      </c>
      <c r="D44" t="inlineStr">
        <is>
          <t>DALARNAS LÄN</t>
        </is>
      </c>
      <c r="E44" t="inlineStr">
        <is>
          <t>AVESTA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20667-2019</t>
        </is>
      </c>
      <c r="B45" s="1" t="n">
        <v>43573</v>
      </c>
      <c r="C45" s="1" t="n">
        <v>45807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21273-2019</t>
        </is>
      </c>
      <c r="B46" s="1" t="n">
        <v>43579</v>
      </c>
      <c r="C46" s="1" t="n">
        <v>45807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21495-2019</t>
        </is>
      </c>
      <c r="B47" s="1" t="n">
        <v>43580</v>
      </c>
      <c r="C47" s="1" t="n">
        <v>45807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25193-2019</t>
        </is>
      </c>
      <c r="B48" s="1" t="n">
        <v>43605</v>
      </c>
      <c r="C48" s="1" t="n">
        <v>45807</v>
      </c>
      <c r="D48" t="inlineStr">
        <is>
          <t>DALARNAS LÄN</t>
        </is>
      </c>
      <c r="E48" t="inlineStr">
        <is>
          <t>AVESTA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27312-2019</t>
        </is>
      </c>
      <c r="B49" s="1" t="n">
        <v>43616</v>
      </c>
      <c r="C49" s="1" t="n">
        <v>45807</v>
      </c>
      <c r="D49" t="inlineStr">
        <is>
          <t>DALARNAS LÄN</t>
        </is>
      </c>
      <c r="E49" t="inlineStr">
        <is>
          <t>AVESTA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28514-2019</t>
        </is>
      </c>
      <c r="B50" s="1" t="n">
        <v>43626</v>
      </c>
      <c r="C50" s="1" t="n">
        <v>45807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29061-2019</t>
        </is>
      </c>
      <c r="B51" s="1" t="n">
        <v>43628</v>
      </c>
      <c r="C51" s="1" t="n">
        <v>45807</v>
      </c>
      <c r="D51" t="inlineStr">
        <is>
          <t>DALARNAS LÄN</t>
        </is>
      </c>
      <c r="E51" t="inlineStr">
        <is>
          <t>AVESTA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29868-2019</t>
        </is>
      </c>
      <c r="B52" s="1" t="n">
        <v>43633</v>
      </c>
      <c r="C52" s="1" t="n">
        <v>45807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31035-2019</t>
        </is>
      </c>
      <c r="B53" s="1" t="n">
        <v>43640</v>
      </c>
      <c r="C53" s="1" t="n">
        <v>45807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31932-2019</t>
        </is>
      </c>
      <c r="B54" s="1" t="n">
        <v>43642</v>
      </c>
      <c r="C54" s="1" t="n">
        <v>45807</v>
      </c>
      <c r="D54" t="inlineStr">
        <is>
          <t>DALARNAS LÄN</t>
        </is>
      </c>
      <c r="E54" t="inlineStr">
        <is>
          <t>AVESTA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32441-2019</t>
        </is>
      </c>
      <c r="B55" s="1" t="n">
        <v>43644</v>
      </c>
      <c r="C55" s="1" t="n">
        <v>45807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36010-2019</t>
        </is>
      </c>
      <c r="B56" s="1" t="n">
        <v>43668</v>
      </c>
      <c r="C56" s="1" t="n">
        <v>45807</v>
      </c>
      <c r="D56" t="inlineStr">
        <is>
          <t>DALARNAS LÄN</t>
        </is>
      </c>
      <c r="E56" t="inlineStr">
        <is>
          <t>AVESTA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36025-2019</t>
        </is>
      </c>
      <c r="B57" s="1" t="n">
        <v>43668</v>
      </c>
      <c r="C57" s="1" t="n">
        <v>45807</v>
      </c>
      <c r="D57" t="inlineStr">
        <is>
          <t>DALARNAS LÄN</t>
        </is>
      </c>
      <c r="E57" t="inlineStr">
        <is>
          <t>AVESTA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36823-2019</t>
        </is>
      </c>
      <c r="B58" s="1" t="n">
        <v>43674</v>
      </c>
      <c r="C58" s="1" t="n">
        <v>45807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36824-2019</t>
        </is>
      </c>
      <c r="B59" s="1" t="n">
        <v>43674</v>
      </c>
      <c r="C59" s="1" t="n">
        <v>45807</v>
      </c>
      <c r="D59" t="inlineStr">
        <is>
          <t>DALARNAS LÄN</t>
        </is>
      </c>
      <c r="E59" t="inlineStr">
        <is>
          <t>AVESTA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38526-2019</t>
        </is>
      </c>
      <c r="B60" s="1" t="n">
        <v>43685</v>
      </c>
      <c r="C60" s="1" t="n">
        <v>45807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40100-2019</t>
        </is>
      </c>
      <c r="B61" s="1" t="n">
        <v>43693</v>
      </c>
      <c r="C61" s="1" t="n">
        <v>45807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40066-2019</t>
        </is>
      </c>
      <c r="B62" s="1" t="n">
        <v>43693</v>
      </c>
      <c r="C62" s="1" t="n">
        <v>45807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40068-2019</t>
        </is>
      </c>
      <c r="B63" s="1" t="n">
        <v>43693</v>
      </c>
      <c r="C63" s="1" t="n">
        <v>45807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40088-2019</t>
        </is>
      </c>
      <c r="B64" s="1" t="n">
        <v>43693</v>
      </c>
      <c r="C64" s="1" t="n">
        <v>45807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40058-2019</t>
        </is>
      </c>
      <c r="B65" s="1" t="n">
        <v>43693</v>
      </c>
      <c r="C65" s="1" t="n">
        <v>45807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41062-2019</t>
        </is>
      </c>
      <c r="B66" s="1" t="n">
        <v>43698</v>
      </c>
      <c r="C66" s="1" t="n">
        <v>45807</v>
      </c>
      <c r="D66" t="inlineStr">
        <is>
          <t>DALARNAS LÄN</t>
        </is>
      </c>
      <c r="E66" t="inlineStr">
        <is>
          <t>AVESTA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41335-2019</t>
        </is>
      </c>
      <c r="B67" s="1" t="n">
        <v>43698</v>
      </c>
      <c r="C67" s="1" t="n">
        <v>45807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41066-2019</t>
        </is>
      </c>
      <c r="B68" s="1" t="n">
        <v>43698</v>
      </c>
      <c r="C68" s="1" t="n">
        <v>45807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43523-2019</t>
        </is>
      </c>
      <c r="B69" s="1" t="n">
        <v>43706</v>
      </c>
      <c r="C69" s="1" t="n">
        <v>45807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44663-2019</t>
        </is>
      </c>
      <c r="B70" s="1" t="n">
        <v>43712</v>
      </c>
      <c r="C70" s="1" t="n">
        <v>45807</v>
      </c>
      <c r="D70" t="inlineStr">
        <is>
          <t>DALARNAS LÄN</t>
        </is>
      </c>
      <c r="E70" t="inlineStr">
        <is>
          <t>AVESTA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45827-2019</t>
        </is>
      </c>
      <c r="B71" s="1" t="n">
        <v>43717</v>
      </c>
      <c r="C71" s="1" t="n">
        <v>45807</v>
      </c>
      <c r="D71" t="inlineStr">
        <is>
          <t>DALARNAS LÄN</t>
        </is>
      </c>
      <c r="E71" t="inlineStr">
        <is>
          <t>AVESTA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49272-2019</t>
        </is>
      </c>
      <c r="B72" s="1" t="n">
        <v>43731</v>
      </c>
      <c r="C72" s="1" t="n">
        <v>45807</v>
      </c>
      <c r="D72" t="inlineStr">
        <is>
          <t>DALARNAS LÄN</t>
        </is>
      </c>
      <c r="E72" t="inlineStr">
        <is>
          <t>AVESTA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49620-2019</t>
        </is>
      </c>
      <c r="B73" s="1" t="n">
        <v>43732</v>
      </c>
      <c r="C73" s="1" t="n">
        <v>45807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53459-2019</t>
        </is>
      </c>
      <c r="B74" s="1" t="n">
        <v>43748</v>
      </c>
      <c r="C74" s="1" t="n">
        <v>45807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53977-2019</t>
        </is>
      </c>
      <c r="B75" s="1" t="n">
        <v>43752</v>
      </c>
      <c r="C75" s="1" t="n">
        <v>45807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60217-2019</t>
        </is>
      </c>
      <c r="B76" s="1" t="n">
        <v>43780</v>
      </c>
      <c r="C76" s="1" t="n">
        <v>45807</v>
      </c>
      <c r="D76" t="inlineStr">
        <is>
          <t>DALARNAS LÄN</t>
        </is>
      </c>
      <c r="E76" t="inlineStr">
        <is>
          <t>AVESTA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60242-2019</t>
        </is>
      </c>
      <c r="B77" s="1" t="n">
        <v>43780</v>
      </c>
      <c r="C77" s="1" t="n">
        <v>45807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60201-2019</t>
        </is>
      </c>
      <c r="B78" s="1" t="n">
        <v>43780</v>
      </c>
      <c r="C78" s="1" t="n">
        <v>45807</v>
      </c>
      <c r="D78" t="inlineStr">
        <is>
          <t>DALARNAS LÄN</t>
        </is>
      </c>
      <c r="E78" t="inlineStr">
        <is>
          <t>AVESTA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60414-2019</t>
        </is>
      </c>
      <c r="B79" s="1" t="n">
        <v>43780</v>
      </c>
      <c r="C79" s="1" t="n">
        <v>45807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60280-2019</t>
        </is>
      </c>
      <c r="B80" s="1" t="n">
        <v>43780</v>
      </c>
      <c r="C80" s="1" t="n">
        <v>45807</v>
      </c>
      <c r="D80" t="inlineStr">
        <is>
          <t>DALARNAS LÄN</t>
        </is>
      </c>
      <c r="E80" t="inlineStr">
        <is>
          <t>AVESTA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60419-2019</t>
        </is>
      </c>
      <c r="B81" s="1" t="n">
        <v>43780</v>
      </c>
      <c r="C81" s="1" t="n">
        <v>45807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60304-2019</t>
        </is>
      </c>
      <c r="B82" s="1" t="n">
        <v>43780</v>
      </c>
      <c r="C82" s="1" t="n">
        <v>45807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62120-2019</t>
        </is>
      </c>
      <c r="B83" s="1" t="n">
        <v>43782</v>
      </c>
      <c r="C83" s="1" t="n">
        <v>45807</v>
      </c>
      <c r="D83" t="inlineStr">
        <is>
          <t>DALARNAS LÄN</t>
        </is>
      </c>
      <c r="E83" t="inlineStr">
        <is>
          <t>AVESTA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62818-2019</t>
        </is>
      </c>
      <c r="B84" s="1" t="n">
        <v>43790</v>
      </c>
      <c r="C84" s="1" t="n">
        <v>45807</v>
      </c>
      <c r="D84" t="inlineStr">
        <is>
          <t>DALARNAS LÄN</t>
        </is>
      </c>
      <c r="E84" t="inlineStr">
        <is>
          <t>AVESTA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65871-2019</t>
        </is>
      </c>
      <c r="B85" s="1" t="n">
        <v>43805</v>
      </c>
      <c r="C85" s="1" t="n">
        <v>45807</v>
      </c>
      <c r="D85" t="inlineStr">
        <is>
          <t>DALARNAS LÄN</t>
        </is>
      </c>
      <c r="E85" t="inlineStr">
        <is>
          <t>AVESTA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66721-2019</t>
        </is>
      </c>
      <c r="B86" s="1" t="n">
        <v>43810</v>
      </c>
      <c r="C86" s="1" t="n">
        <v>45807</v>
      </c>
      <c r="D86" t="inlineStr">
        <is>
          <t>DALARNAS LÄN</t>
        </is>
      </c>
      <c r="E86" t="inlineStr">
        <is>
          <t>AVESTA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2746-2020</t>
        </is>
      </c>
      <c r="B87" s="1" t="n">
        <v>43843</v>
      </c>
      <c r="C87" s="1" t="n">
        <v>45807</v>
      </c>
      <c r="D87" t="inlineStr">
        <is>
          <t>DALARNAS LÄN</t>
        </is>
      </c>
      <c r="E87" t="inlineStr">
        <is>
          <t>AVESTA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4632-2020</t>
        </is>
      </c>
      <c r="B88" s="1" t="n">
        <v>43858</v>
      </c>
      <c r="C88" s="1" t="n">
        <v>45807</v>
      </c>
      <c r="D88" t="inlineStr">
        <is>
          <t>DALARNAS LÄN</t>
        </is>
      </c>
      <c r="E88" t="inlineStr">
        <is>
          <t>AVESTA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10881-2020</t>
        </is>
      </c>
      <c r="B89" s="1" t="n">
        <v>43885</v>
      </c>
      <c r="C89" s="1" t="n">
        <v>45807</v>
      </c>
      <c r="D89" t="inlineStr">
        <is>
          <t>DALARNAS LÄN</t>
        </is>
      </c>
      <c r="E89" t="inlineStr">
        <is>
          <t>AVESTA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11310-2020</t>
        </is>
      </c>
      <c r="B90" s="1" t="n">
        <v>43886</v>
      </c>
      <c r="C90" s="1" t="n">
        <v>45807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11721-2020</t>
        </is>
      </c>
      <c r="B91" s="1" t="n">
        <v>43894</v>
      </c>
      <c r="C91" s="1" t="n">
        <v>45807</v>
      </c>
      <c r="D91" t="inlineStr">
        <is>
          <t>DALARNAS LÄN</t>
        </is>
      </c>
      <c r="E91" t="inlineStr">
        <is>
          <t>AVESTA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11780-2020</t>
        </is>
      </c>
      <c r="B92" s="1" t="n">
        <v>43894</v>
      </c>
      <c r="C92" s="1" t="n">
        <v>45807</v>
      </c>
      <c r="D92" t="inlineStr">
        <is>
          <t>DALARNAS LÄN</t>
        </is>
      </c>
      <c r="E92" t="inlineStr">
        <is>
          <t>AVESTA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13840-2020</t>
        </is>
      </c>
      <c r="B93" s="1" t="n">
        <v>43906</v>
      </c>
      <c r="C93" s="1" t="n">
        <v>45807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17268-2020</t>
        </is>
      </c>
      <c r="B94" s="1" t="n">
        <v>43922</v>
      </c>
      <c r="C94" s="1" t="n">
        <v>45807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18541-2020</t>
        </is>
      </c>
      <c r="B95" s="1" t="n">
        <v>43929</v>
      </c>
      <c r="C95" s="1" t="n">
        <v>45807</v>
      </c>
      <c r="D95" t="inlineStr">
        <is>
          <t>DALARNAS LÄN</t>
        </is>
      </c>
      <c r="E95" t="inlineStr">
        <is>
          <t>AVESTA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18686-2020</t>
        </is>
      </c>
      <c r="B96" s="1" t="n">
        <v>43930</v>
      </c>
      <c r="C96" s="1" t="n">
        <v>45807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20955-2020</t>
        </is>
      </c>
      <c r="B97" s="1" t="n">
        <v>43950</v>
      </c>
      <c r="C97" s="1" t="n">
        <v>45807</v>
      </c>
      <c r="D97" t="inlineStr">
        <is>
          <t>DALARNAS LÄN</t>
        </is>
      </c>
      <c r="E97" t="inlineStr">
        <is>
          <t>AVESTA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21454-2020</t>
        </is>
      </c>
      <c r="B98" s="1" t="n">
        <v>43956</v>
      </c>
      <c r="C98" s="1" t="n">
        <v>45807</v>
      </c>
      <c r="D98" t="inlineStr">
        <is>
          <t>DALARNAS LÄN</t>
        </is>
      </c>
      <c r="E98" t="inlineStr">
        <is>
          <t>AVESTA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21455-2020</t>
        </is>
      </c>
      <c r="B99" s="1" t="n">
        <v>43956</v>
      </c>
      <c r="C99" s="1" t="n">
        <v>45807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21654-2020</t>
        </is>
      </c>
      <c r="B100" s="1" t="n">
        <v>43957</v>
      </c>
      <c r="C100" s="1" t="n">
        <v>45807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24087-2020</t>
        </is>
      </c>
      <c r="B101" s="1" t="n">
        <v>43972</v>
      </c>
      <c r="C101" s="1" t="n">
        <v>45807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24273-2020</t>
        </is>
      </c>
      <c r="B102" s="1" t="n">
        <v>43976</v>
      </c>
      <c r="C102" s="1" t="n">
        <v>45807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24556-2020</t>
        </is>
      </c>
      <c r="B103" s="1" t="n">
        <v>43977</v>
      </c>
      <c r="C103" s="1" t="n">
        <v>45807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24697-2020</t>
        </is>
      </c>
      <c r="B104" s="1" t="n">
        <v>43978</v>
      </c>
      <c r="C104" s="1" t="n">
        <v>45807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25134-2020</t>
        </is>
      </c>
      <c r="B105" s="1" t="n">
        <v>43980</v>
      </c>
      <c r="C105" s="1" t="n">
        <v>45807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26444-2020</t>
        </is>
      </c>
      <c r="B106" s="1" t="n">
        <v>43987</v>
      </c>
      <c r="C106" s="1" t="n">
        <v>45807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26443-2020</t>
        </is>
      </c>
      <c r="B107" s="1" t="n">
        <v>43987</v>
      </c>
      <c r="C107" s="1" t="n">
        <v>45807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28661-2020</t>
        </is>
      </c>
      <c r="B108" s="1" t="n">
        <v>43998</v>
      </c>
      <c r="C108" s="1" t="n">
        <v>45807</v>
      </c>
      <c r="D108" t="inlineStr">
        <is>
          <t>DALARNAS LÄN</t>
        </is>
      </c>
      <c r="E108" t="inlineStr">
        <is>
          <t>AVESTA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33495-2020</t>
        </is>
      </c>
      <c r="B109" s="1" t="n">
        <v>44025</v>
      </c>
      <c r="C109" s="1" t="n">
        <v>45807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35075-2020</t>
        </is>
      </c>
      <c r="B110" s="1" t="n">
        <v>44039</v>
      </c>
      <c r="C110" s="1" t="n">
        <v>45807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36027-2020</t>
        </is>
      </c>
      <c r="B111" s="1" t="n">
        <v>44047</v>
      </c>
      <c r="C111" s="1" t="n">
        <v>45807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36201-2020</t>
        </is>
      </c>
      <c r="B112" s="1" t="n">
        <v>44048</v>
      </c>
      <c r="C112" s="1" t="n">
        <v>45807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36948-2020</t>
        </is>
      </c>
      <c r="B113" s="1" t="n">
        <v>44053</v>
      </c>
      <c r="C113" s="1" t="n">
        <v>45807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38121-2020</t>
        </is>
      </c>
      <c r="B114" s="1" t="n">
        <v>44059</v>
      </c>
      <c r="C114" s="1" t="n">
        <v>45807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39495-2020</t>
        </is>
      </c>
      <c r="B115" s="1" t="n">
        <v>44064</v>
      </c>
      <c r="C115" s="1" t="n">
        <v>45807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42029-2020</t>
        </is>
      </c>
      <c r="B116" s="1" t="n">
        <v>44075</v>
      </c>
      <c r="C116" s="1" t="n">
        <v>45807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43056-2020</t>
        </is>
      </c>
      <c r="B117" s="1" t="n">
        <v>44078</v>
      </c>
      <c r="C117" s="1" t="n">
        <v>45807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43799-2020</t>
        </is>
      </c>
      <c r="B118" s="1" t="n">
        <v>44082</v>
      </c>
      <c r="C118" s="1" t="n">
        <v>45807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43488-2020</t>
        </is>
      </c>
      <c r="B119" s="1" t="n">
        <v>44082</v>
      </c>
      <c r="C119" s="1" t="n">
        <v>45807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HYPERLINK("https://klasma.github.io/Logging_2084/knärot/A 43488-2020 karta knärot.png", "A 43488-2020")</f>
        <v/>
      </c>
      <c r="V119">
        <f>HYPERLINK("https://klasma.github.io/Logging_2084/klagomål/A 43488-2020 FSC-klagomål.docx", "A 43488-2020")</f>
        <v/>
      </c>
      <c r="W119">
        <f>HYPERLINK("https://klasma.github.io/Logging_2084/klagomålsmail/A 43488-2020 FSC-klagomål mail.docx", "A 43488-2020")</f>
        <v/>
      </c>
      <c r="X119">
        <f>HYPERLINK("https://klasma.github.io/Logging_2084/tillsyn/A 43488-2020 tillsynsbegäran.docx", "A 43488-2020")</f>
        <v/>
      </c>
      <c r="Y119">
        <f>HYPERLINK("https://klasma.github.io/Logging_2084/tillsynsmail/A 43488-2020 tillsynsbegäran mail.docx", "A 43488-2020")</f>
        <v/>
      </c>
    </row>
    <row r="120" ht="15" customHeight="1">
      <c r="A120" t="inlineStr">
        <is>
          <t>A 44240-2020</t>
        </is>
      </c>
      <c r="B120" s="1" t="n">
        <v>44084</v>
      </c>
      <c r="C120" s="1" t="n">
        <v>45807</v>
      </c>
      <c r="D120" t="inlineStr">
        <is>
          <t>DALARNAS LÄN</t>
        </is>
      </c>
      <c r="E120" t="inlineStr">
        <is>
          <t>AVESTA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44310-2020</t>
        </is>
      </c>
      <c r="B121" s="1" t="n">
        <v>44084</v>
      </c>
      <c r="C121" s="1" t="n">
        <v>45807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45205-2020</t>
        </is>
      </c>
      <c r="B122" s="1" t="n">
        <v>44088</v>
      </c>
      <c r="C122" s="1" t="n">
        <v>45807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47287-2020</t>
        </is>
      </c>
      <c r="B123" s="1" t="n">
        <v>44097</v>
      </c>
      <c r="C123" s="1" t="n">
        <v>45807</v>
      </c>
      <c r="D123" t="inlineStr">
        <is>
          <t>DALARNAS LÄN</t>
        </is>
      </c>
      <c r="E123" t="inlineStr">
        <is>
          <t>AVESTA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52312-2020</t>
        </is>
      </c>
      <c r="B124" s="1" t="n">
        <v>44117</v>
      </c>
      <c r="C124" s="1" t="n">
        <v>45807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52313-2020</t>
        </is>
      </c>
      <c r="B125" s="1" t="n">
        <v>44117</v>
      </c>
      <c r="C125" s="1" t="n">
        <v>45807</v>
      </c>
      <c r="D125" t="inlineStr">
        <is>
          <t>DALARNAS LÄN</t>
        </is>
      </c>
      <c r="E125" t="inlineStr">
        <is>
          <t>AVESTA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52373-2020</t>
        </is>
      </c>
      <c r="B126" s="1" t="n">
        <v>44118</v>
      </c>
      <c r="C126" s="1" t="n">
        <v>45807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52888-2020</t>
        </is>
      </c>
      <c r="B127" s="1" t="n">
        <v>44119</v>
      </c>
      <c r="C127" s="1" t="n">
        <v>45807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52887-2020</t>
        </is>
      </c>
      <c r="B128" s="1" t="n">
        <v>44119</v>
      </c>
      <c r="C128" s="1" t="n">
        <v>45807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59199-2020</t>
        </is>
      </c>
      <c r="B129" s="1" t="n">
        <v>44147</v>
      </c>
      <c r="C129" s="1" t="n">
        <v>45807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62147-2020</t>
        </is>
      </c>
      <c r="B130" s="1" t="n">
        <v>44159</v>
      </c>
      <c r="C130" s="1" t="n">
        <v>45807</v>
      </c>
      <c r="D130" t="inlineStr">
        <is>
          <t>DALARNAS LÄN</t>
        </is>
      </c>
      <c r="E130" t="inlineStr">
        <is>
          <t>AVESTA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63104-2020</t>
        </is>
      </c>
      <c r="B131" s="1" t="n">
        <v>44159</v>
      </c>
      <c r="C131" s="1" t="n">
        <v>45807</v>
      </c>
      <c r="D131" t="inlineStr">
        <is>
          <t>DALARNAS LÄN</t>
        </is>
      </c>
      <c r="E131" t="inlineStr">
        <is>
          <t>AVESTA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1864-2021</t>
        </is>
      </c>
      <c r="B132" s="1" t="n">
        <v>44210</v>
      </c>
      <c r="C132" s="1" t="n">
        <v>45807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2466-2021</t>
        </is>
      </c>
      <c r="B133" s="1" t="n">
        <v>44214</v>
      </c>
      <c r="C133" s="1" t="n">
        <v>45807</v>
      </c>
      <c r="D133" t="inlineStr">
        <is>
          <t>DALARNAS LÄN</t>
        </is>
      </c>
      <c r="E133" t="inlineStr">
        <is>
          <t>AVESTA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4275-2021</t>
        </is>
      </c>
      <c r="B134" s="1" t="n">
        <v>44223</v>
      </c>
      <c r="C134" s="1" t="n">
        <v>45807</v>
      </c>
      <c r="D134" t="inlineStr">
        <is>
          <t>DALARNAS LÄN</t>
        </is>
      </c>
      <c r="E134" t="inlineStr">
        <is>
          <t>AVESTA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5704-2021</t>
        </is>
      </c>
      <c r="B135" s="1" t="n">
        <v>44230</v>
      </c>
      <c r="C135" s="1" t="n">
        <v>45807</v>
      </c>
      <c r="D135" t="inlineStr">
        <is>
          <t>DALARNAS LÄN</t>
        </is>
      </c>
      <c r="E135" t="inlineStr">
        <is>
          <t>AVESTA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5769-2021</t>
        </is>
      </c>
      <c r="B136" s="1" t="n">
        <v>44230</v>
      </c>
      <c r="C136" s="1" t="n">
        <v>45807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6257-2021</t>
        </is>
      </c>
      <c r="B137" s="1" t="n">
        <v>44232</v>
      </c>
      <c r="C137" s="1" t="n">
        <v>45807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13613-2021</t>
        </is>
      </c>
      <c r="B138" s="1" t="n">
        <v>44274</v>
      </c>
      <c r="C138" s="1" t="n">
        <v>45807</v>
      </c>
      <c r="D138" t="inlineStr">
        <is>
          <t>DALARNAS LÄN</t>
        </is>
      </c>
      <c r="E138" t="inlineStr">
        <is>
          <t>AVESTA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13867-2021</t>
        </is>
      </c>
      <c r="B139" s="1" t="n">
        <v>44277</v>
      </c>
      <c r="C139" s="1" t="n">
        <v>45807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14252-2021</t>
        </is>
      </c>
      <c r="B140" s="1" t="n">
        <v>44278</v>
      </c>
      <c r="C140" s="1" t="n">
        <v>45807</v>
      </c>
      <c r="D140" t="inlineStr">
        <is>
          <t>DALARNAS LÄN</t>
        </is>
      </c>
      <c r="E140" t="inlineStr">
        <is>
          <t>AVESTA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15087-2021</t>
        </is>
      </c>
      <c r="B141" s="1" t="n">
        <v>44281</v>
      </c>
      <c r="C141" s="1" t="n">
        <v>45807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15088-2021</t>
        </is>
      </c>
      <c r="B142" s="1" t="n">
        <v>44281</v>
      </c>
      <c r="C142" s="1" t="n">
        <v>45807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17316-2021</t>
        </is>
      </c>
      <c r="B143" s="1" t="n">
        <v>44298</v>
      </c>
      <c r="C143" s="1" t="n">
        <v>45807</v>
      </c>
      <c r="D143" t="inlineStr">
        <is>
          <t>DALARNAS LÄN</t>
        </is>
      </c>
      <c r="E143" t="inlineStr">
        <is>
          <t>AVESTA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18291-2021</t>
        </is>
      </c>
      <c r="B144" s="1" t="n">
        <v>44305</v>
      </c>
      <c r="C144" s="1" t="n">
        <v>45807</v>
      </c>
      <c r="D144" t="inlineStr">
        <is>
          <t>DALARNAS LÄN</t>
        </is>
      </c>
      <c r="E144" t="inlineStr">
        <is>
          <t>AVESTA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18896-2021</t>
        </is>
      </c>
      <c r="B145" s="1" t="n">
        <v>44308</v>
      </c>
      <c r="C145" s="1" t="n">
        <v>45807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19797-2021</t>
        </is>
      </c>
      <c r="B146" s="1" t="n">
        <v>44309</v>
      </c>
      <c r="C146" s="1" t="n">
        <v>45807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19867-2021</t>
        </is>
      </c>
      <c r="B147" s="1" t="n">
        <v>44313</v>
      </c>
      <c r="C147" s="1" t="n">
        <v>45807</v>
      </c>
      <c r="D147" t="inlineStr">
        <is>
          <t>DALARNAS LÄN</t>
        </is>
      </c>
      <c r="E147" t="inlineStr">
        <is>
          <t>AVESTA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23005-2021</t>
        </is>
      </c>
      <c r="B148" s="1" t="n">
        <v>44328</v>
      </c>
      <c r="C148" s="1" t="n">
        <v>45807</v>
      </c>
      <c r="D148" t="inlineStr">
        <is>
          <t>DALARNAS LÄN</t>
        </is>
      </c>
      <c r="E148" t="inlineStr">
        <is>
          <t>AVESTA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23347-2021</t>
        </is>
      </c>
      <c r="B149" s="1" t="n">
        <v>44333</v>
      </c>
      <c r="C149" s="1" t="n">
        <v>45807</v>
      </c>
      <c r="D149" t="inlineStr">
        <is>
          <t>DALARNAS LÄN</t>
        </is>
      </c>
      <c r="E149" t="inlineStr">
        <is>
          <t>AVESTA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26086-2021</t>
        </is>
      </c>
      <c r="B150" s="1" t="n">
        <v>44344</v>
      </c>
      <c r="C150" s="1" t="n">
        <v>45807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26085-2021</t>
        </is>
      </c>
      <c r="B151" s="1" t="n">
        <v>44344</v>
      </c>
      <c r="C151" s="1" t="n">
        <v>45807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27221-2021</t>
        </is>
      </c>
      <c r="B152" s="1" t="n">
        <v>44350</v>
      </c>
      <c r="C152" s="1" t="n">
        <v>45807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28521-2021</t>
        </is>
      </c>
      <c r="B153" s="1" t="n">
        <v>44356</v>
      </c>
      <c r="C153" s="1" t="n">
        <v>45807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28514-2021</t>
        </is>
      </c>
      <c r="B154" s="1" t="n">
        <v>44356</v>
      </c>
      <c r="C154" s="1" t="n">
        <v>45807</v>
      </c>
      <c r="D154" t="inlineStr">
        <is>
          <t>DALARNAS LÄN</t>
        </is>
      </c>
      <c r="E154" t="inlineStr">
        <is>
          <t>AVESTA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28762-2021</t>
        </is>
      </c>
      <c r="B155" s="1" t="n">
        <v>44357</v>
      </c>
      <c r="C155" s="1" t="n">
        <v>45807</v>
      </c>
      <c r="D155" t="inlineStr">
        <is>
          <t>DALARNAS LÄN</t>
        </is>
      </c>
      <c r="E155" t="inlineStr">
        <is>
          <t>AVESTA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31226-2021</t>
        </is>
      </c>
      <c r="B156" s="1" t="n">
        <v>44368</v>
      </c>
      <c r="C156" s="1" t="n">
        <v>45807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31126-2021</t>
        </is>
      </c>
      <c r="B157" s="1" t="n">
        <v>44368</v>
      </c>
      <c r="C157" s="1" t="n">
        <v>45807</v>
      </c>
      <c r="D157" t="inlineStr">
        <is>
          <t>DALARNAS LÄN</t>
        </is>
      </c>
      <c r="E157" t="inlineStr">
        <is>
          <t>AVESTA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32254-2021</t>
        </is>
      </c>
      <c r="B158" s="1" t="n">
        <v>44371</v>
      </c>
      <c r="C158" s="1" t="n">
        <v>45807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32258-2021</t>
        </is>
      </c>
      <c r="B159" s="1" t="n">
        <v>44371</v>
      </c>
      <c r="C159" s="1" t="n">
        <v>45807</v>
      </c>
      <c r="D159" t="inlineStr">
        <is>
          <t>DALARNAS LÄN</t>
        </is>
      </c>
      <c r="E159" t="inlineStr">
        <is>
          <t>AVESTA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32613-2021</t>
        </is>
      </c>
      <c r="B160" s="1" t="n">
        <v>44375</v>
      </c>
      <c r="C160" s="1" t="n">
        <v>45807</v>
      </c>
      <c r="D160" t="inlineStr">
        <is>
          <t>DALARNAS LÄN</t>
        </is>
      </c>
      <c r="E160" t="inlineStr">
        <is>
          <t>AVESTA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35855-2021</t>
        </is>
      </c>
      <c r="B161" s="1" t="n">
        <v>44386</v>
      </c>
      <c r="C161" s="1" t="n">
        <v>45807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39164-2021</t>
        </is>
      </c>
      <c r="B162" s="1" t="n">
        <v>44412</v>
      </c>
      <c r="C162" s="1" t="n">
        <v>45807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42326-2021</t>
        </is>
      </c>
      <c r="B163" s="1" t="n">
        <v>44427</v>
      </c>
      <c r="C163" s="1" t="n">
        <v>45807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42704-2021</t>
        </is>
      </c>
      <c r="B164" s="1" t="n">
        <v>44428</v>
      </c>
      <c r="C164" s="1" t="n">
        <v>45807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42735-2021</t>
        </is>
      </c>
      <c r="B165" s="1" t="n">
        <v>44428</v>
      </c>
      <c r="C165" s="1" t="n">
        <v>45807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43767-2021</t>
        </is>
      </c>
      <c r="B166" s="1" t="n">
        <v>44433</v>
      </c>
      <c r="C166" s="1" t="n">
        <v>45807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44710-2021</t>
        </is>
      </c>
      <c r="B167" s="1" t="n">
        <v>44438</v>
      </c>
      <c r="C167" s="1" t="n">
        <v>45807</v>
      </c>
      <c r="D167" t="inlineStr">
        <is>
          <t>DALARNAS LÄN</t>
        </is>
      </c>
      <c r="E167" t="inlineStr">
        <is>
          <t>AVESTA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45606-2021</t>
        </is>
      </c>
      <c r="B168" s="1" t="n">
        <v>44440</v>
      </c>
      <c r="C168" s="1" t="n">
        <v>45807</v>
      </c>
      <c r="D168" t="inlineStr">
        <is>
          <t>DALARNAS LÄN</t>
        </is>
      </c>
      <c r="E168" t="inlineStr">
        <is>
          <t>AVESTA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46175-2021</t>
        </is>
      </c>
      <c r="B169" s="1" t="n">
        <v>44442</v>
      </c>
      <c r="C169" s="1" t="n">
        <v>45807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46221-2021</t>
        </is>
      </c>
      <c r="B170" s="1" t="n">
        <v>44442</v>
      </c>
      <c r="C170" s="1" t="n">
        <v>45807</v>
      </c>
      <c r="D170" t="inlineStr">
        <is>
          <t>DALARNAS LÄN</t>
        </is>
      </c>
      <c r="E170" t="inlineStr">
        <is>
          <t>AVESTA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49392-2021</t>
        </is>
      </c>
      <c r="B171" s="1" t="n">
        <v>44454</v>
      </c>
      <c r="C171" s="1" t="n">
        <v>45807</v>
      </c>
      <c r="D171" t="inlineStr">
        <is>
          <t>DALARNAS LÄN</t>
        </is>
      </c>
      <c r="E171" t="inlineStr">
        <is>
          <t>AVESTA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50806-2021</t>
        </is>
      </c>
      <c r="B172" s="1" t="n">
        <v>44459</v>
      </c>
      <c r="C172" s="1" t="n">
        <v>45807</v>
      </c>
      <c r="D172" t="inlineStr">
        <is>
          <t>DALARNAS LÄN</t>
        </is>
      </c>
      <c r="E172" t="inlineStr">
        <is>
          <t>AVESTA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50863-2021</t>
        </is>
      </c>
      <c r="B173" s="1" t="n">
        <v>44460</v>
      </c>
      <c r="C173" s="1" t="n">
        <v>45807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50886-2021</t>
        </is>
      </c>
      <c r="B174" s="1" t="n">
        <v>44460</v>
      </c>
      <c r="C174" s="1" t="n">
        <v>45807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52818-2021</t>
        </is>
      </c>
      <c r="B175" s="1" t="n">
        <v>44467</v>
      </c>
      <c r="C175" s="1" t="n">
        <v>45807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56171-2021</t>
        </is>
      </c>
      <c r="B176" s="1" t="n">
        <v>44477</v>
      </c>
      <c r="C176" s="1" t="n">
        <v>45807</v>
      </c>
      <c r="D176" t="inlineStr">
        <is>
          <t>DALARNAS LÄN</t>
        </is>
      </c>
      <c r="E176" t="inlineStr">
        <is>
          <t>AVESTA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56428-2021</t>
        </is>
      </c>
      <c r="B177" s="1" t="n">
        <v>44480</v>
      </c>
      <c r="C177" s="1" t="n">
        <v>45807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56954-2021</t>
        </is>
      </c>
      <c r="B178" s="1" t="n">
        <v>44482</v>
      </c>
      <c r="C178" s="1" t="n">
        <v>45807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63519-2021</t>
        </is>
      </c>
      <c r="B179" s="1" t="n">
        <v>44508</v>
      </c>
      <c r="C179" s="1" t="n">
        <v>45807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64768-2021</t>
        </is>
      </c>
      <c r="B180" s="1" t="n">
        <v>44512</v>
      </c>
      <c r="C180" s="1" t="n">
        <v>45807</v>
      </c>
      <c r="D180" t="inlineStr">
        <is>
          <t>DALARNAS LÄN</t>
        </is>
      </c>
      <c r="E180" t="inlineStr">
        <is>
          <t>AVESTA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65738-2021</t>
        </is>
      </c>
      <c r="B181" s="1" t="n">
        <v>44516</v>
      </c>
      <c r="C181" s="1" t="n">
        <v>45807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73172-2021</t>
        </is>
      </c>
      <c r="B182" s="1" t="n">
        <v>44550</v>
      </c>
      <c r="C182" s="1" t="n">
        <v>45807</v>
      </c>
      <c r="D182" t="inlineStr">
        <is>
          <t>DALARNAS LÄN</t>
        </is>
      </c>
      <c r="E182" t="inlineStr">
        <is>
          <t>AVESTA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73377-2021</t>
        </is>
      </c>
      <c r="B183" s="1" t="n">
        <v>44551</v>
      </c>
      <c r="C183" s="1" t="n">
        <v>45807</v>
      </c>
      <c r="D183" t="inlineStr">
        <is>
          <t>DALARNAS LÄN</t>
        </is>
      </c>
      <c r="E183" t="inlineStr">
        <is>
          <t>AVESTA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863-2022</t>
        </is>
      </c>
      <c r="B184" s="1" t="n">
        <v>44571</v>
      </c>
      <c r="C184" s="1" t="n">
        <v>45807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1977-2022</t>
        </is>
      </c>
      <c r="B185" s="1" t="n">
        <v>44575</v>
      </c>
      <c r="C185" s="1" t="n">
        <v>45807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2808-2022</t>
        </is>
      </c>
      <c r="B186" s="1" t="n">
        <v>44581</v>
      </c>
      <c r="C186" s="1" t="n">
        <v>45807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2792-2022</t>
        </is>
      </c>
      <c r="B187" s="1" t="n">
        <v>44581</v>
      </c>
      <c r="C187" s="1" t="n">
        <v>45807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2800-2022</t>
        </is>
      </c>
      <c r="B188" s="1" t="n">
        <v>44581</v>
      </c>
      <c r="C188" s="1" t="n">
        <v>45807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3806-2022</t>
        </is>
      </c>
      <c r="B189" s="1" t="n">
        <v>44587</v>
      </c>
      <c r="C189" s="1" t="n">
        <v>45807</v>
      </c>
      <c r="D189" t="inlineStr">
        <is>
          <t>DALARNAS LÄN</t>
        </is>
      </c>
      <c r="E189" t="inlineStr">
        <is>
          <t>AVESTA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7814-2022</t>
        </is>
      </c>
      <c r="B190" s="1" t="n">
        <v>44608</v>
      </c>
      <c r="C190" s="1" t="n">
        <v>45807</v>
      </c>
      <c r="D190" t="inlineStr">
        <is>
          <t>DALARNAS LÄN</t>
        </is>
      </c>
      <c r="E190" t="inlineStr">
        <is>
          <t>AVESTA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8759-2022</t>
        </is>
      </c>
      <c r="B191" s="1" t="n">
        <v>44613</v>
      </c>
      <c r="C191" s="1" t="n">
        <v>45807</v>
      </c>
      <c r="D191" t="inlineStr">
        <is>
          <t>DALARNAS LÄN</t>
        </is>
      </c>
      <c r="E191" t="inlineStr">
        <is>
          <t>AVESTA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8785-2022</t>
        </is>
      </c>
      <c r="B192" s="1" t="n">
        <v>44614</v>
      </c>
      <c r="C192" s="1" t="n">
        <v>45807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9403-2022</t>
        </is>
      </c>
      <c r="B193" s="1" t="n">
        <v>44616</v>
      </c>
      <c r="C193" s="1" t="n">
        <v>45807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12994-2022</t>
        </is>
      </c>
      <c r="B194" s="1" t="n">
        <v>44643</v>
      </c>
      <c r="C194" s="1" t="n">
        <v>45807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13922-2022</t>
        </is>
      </c>
      <c r="B195" s="1" t="n">
        <v>44650</v>
      </c>
      <c r="C195" s="1" t="n">
        <v>45807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17640-2022</t>
        </is>
      </c>
      <c r="B196" s="1" t="n">
        <v>44680</v>
      </c>
      <c r="C196" s="1" t="n">
        <v>45807</v>
      </c>
      <c r="D196" t="inlineStr">
        <is>
          <t>DALARNAS LÄN</t>
        </is>
      </c>
      <c r="E196" t="inlineStr">
        <is>
          <t>AVESTA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18112-2022</t>
        </is>
      </c>
      <c r="B197" s="1" t="n">
        <v>44684</v>
      </c>
      <c r="C197" s="1" t="n">
        <v>45807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18679-2022</t>
        </is>
      </c>
      <c r="B198" s="1" t="n">
        <v>44687</v>
      </c>
      <c r="C198" s="1" t="n">
        <v>45807</v>
      </c>
      <c r="D198" t="inlineStr">
        <is>
          <t>DALARNAS LÄN</t>
        </is>
      </c>
      <c r="E198" t="inlineStr">
        <is>
          <t>AVESTA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23365-2022</t>
        </is>
      </c>
      <c r="B199" s="1" t="n">
        <v>44720</v>
      </c>
      <c r="C199" s="1" t="n">
        <v>45807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23976-2022</t>
        </is>
      </c>
      <c r="B200" s="1" t="n">
        <v>44722</v>
      </c>
      <c r="C200" s="1" t="n">
        <v>45807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45807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45807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45807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45807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45807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45807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45807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45807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45807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45807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45807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45807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45807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45807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45807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45807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45807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45807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45807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45807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45807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45807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45807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45807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45807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45807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45807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45807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45807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45807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45807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45807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45807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45807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45807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45807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45807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45807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45807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45807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45807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45807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45807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45807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45807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45807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45807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45807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45807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45807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45807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45807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45807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45807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45807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45807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45807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45807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45807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45807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45807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45807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45807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45807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45807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45807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14021-2023</t>
        </is>
      </c>
      <c r="B267" s="1" t="n">
        <v>45007</v>
      </c>
      <c r="C267" s="1" t="n">
        <v>45807</v>
      </c>
      <c r="D267" t="inlineStr">
        <is>
          <t>DALARNAS LÄN</t>
        </is>
      </c>
      <c r="E267" t="inlineStr">
        <is>
          <t>AVESTA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14027-2023</t>
        </is>
      </c>
      <c r="B268" s="1" t="n">
        <v>45007</v>
      </c>
      <c r="C268" s="1" t="n">
        <v>45807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14023-2023</t>
        </is>
      </c>
      <c r="B269" s="1" t="n">
        <v>45007</v>
      </c>
      <c r="C269" s="1" t="n">
        <v>45807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14030-2023</t>
        </is>
      </c>
      <c r="B270" s="1" t="n">
        <v>45007</v>
      </c>
      <c r="C270" s="1" t="n">
        <v>45807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13940-2023</t>
        </is>
      </c>
      <c r="B271" s="1" t="n">
        <v>45008</v>
      </c>
      <c r="C271" s="1" t="n">
        <v>45807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13983-2023</t>
        </is>
      </c>
      <c r="B272" s="1" t="n">
        <v>45008</v>
      </c>
      <c r="C272" s="1" t="n">
        <v>45807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13965-2023</t>
        </is>
      </c>
      <c r="B273" s="1" t="n">
        <v>45008</v>
      </c>
      <c r="C273" s="1" t="n">
        <v>45807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14090-2023</t>
        </is>
      </c>
      <c r="B274" s="1" t="n">
        <v>45009</v>
      </c>
      <c r="C274" s="1" t="n">
        <v>45807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14084-2023</t>
        </is>
      </c>
      <c r="B275" s="1" t="n">
        <v>45009</v>
      </c>
      <c r="C275" s="1" t="n">
        <v>45807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14603-2023</t>
        </is>
      </c>
      <c r="B276" s="1" t="n">
        <v>45013</v>
      </c>
      <c r="C276" s="1" t="n">
        <v>45807</v>
      </c>
      <c r="D276" t="inlineStr">
        <is>
          <t>DALARNAS LÄN</t>
        </is>
      </c>
      <c r="E276" t="inlineStr">
        <is>
          <t>AVESTA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14773-2023</t>
        </is>
      </c>
      <c r="B277" s="1" t="n">
        <v>45014</v>
      </c>
      <c r="C277" s="1" t="n">
        <v>45807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14944-2023</t>
        </is>
      </c>
      <c r="B278" s="1" t="n">
        <v>45015</v>
      </c>
      <c r="C278" s="1" t="n">
        <v>45807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15066-2023</t>
        </is>
      </c>
      <c r="B279" s="1" t="n">
        <v>45015</v>
      </c>
      <c r="C279" s="1" t="n">
        <v>45807</v>
      </c>
      <c r="D279" t="inlineStr">
        <is>
          <t>DALARNAS LÄN</t>
        </is>
      </c>
      <c r="E279" t="inlineStr">
        <is>
          <t>AVESTA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15361-2023</t>
        </is>
      </c>
      <c r="B280" s="1" t="n">
        <v>45019</v>
      </c>
      <c r="C280" s="1" t="n">
        <v>45807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16488-2023</t>
        </is>
      </c>
      <c r="B281" s="1" t="n">
        <v>45029</v>
      </c>
      <c r="C281" s="1" t="n">
        <v>45807</v>
      </c>
      <c r="D281" t="inlineStr">
        <is>
          <t>DALARNAS LÄN</t>
        </is>
      </c>
      <c r="E281" t="inlineStr">
        <is>
          <t>AVESTA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17560-2023</t>
        </is>
      </c>
      <c r="B282" s="1" t="n">
        <v>45036</v>
      </c>
      <c r="C282" s="1" t="n">
        <v>45807</v>
      </c>
      <c r="D282" t="inlineStr">
        <is>
          <t>DALARNAS LÄN</t>
        </is>
      </c>
      <c r="E282" t="inlineStr">
        <is>
          <t>AVESTA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18042-2023</t>
        </is>
      </c>
      <c r="B283" s="1" t="n">
        <v>45040</v>
      </c>
      <c r="C283" s="1" t="n">
        <v>45807</v>
      </c>
      <c r="D283" t="inlineStr">
        <is>
          <t>DALARNAS LÄN</t>
        </is>
      </c>
      <c r="E283" t="inlineStr">
        <is>
          <t>AVESTA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18197-2023</t>
        </is>
      </c>
      <c r="B284" s="1" t="n">
        <v>45040</v>
      </c>
      <c r="C284" s="1" t="n">
        <v>45807</v>
      </c>
      <c r="D284" t="inlineStr">
        <is>
          <t>DALARNAS LÄN</t>
        </is>
      </c>
      <c r="E284" t="inlineStr">
        <is>
          <t>AVESTA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18333-2023</t>
        </is>
      </c>
      <c r="B285" s="1" t="n">
        <v>45041</v>
      </c>
      <c r="C285" s="1" t="n">
        <v>45807</v>
      </c>
      <c r="D285" t="inlineStr">
        <is>
          <t>DALARNAS LÄN</t>
        </is>
      </c>
      <c r="E285" t="inlineStr">
        <is>
          <t>AVESTA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18805-2023</t>
        </is>
      </c>
      <c r="B286" s="1" t="n">
        <v>45044</v>
      </c>
      <c r="C286" s="1" t="n">
        <v>45807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18966-2023</t>
        </is>
      </c>
      <c r="B287" s="1" t="n">
        <v>45044</v>
      </c>
      <c r="C287" s="1" t="n">
        <v>45807</v>
      </c>
      <c r="D287" t="inlineStr">
        <is>
          <t>DALARNAS LÄN</t>
        </is>
      </c>
      <c r="E287" t="inlineStr">
        <is>
          <t>AVESTA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20705-2023</t>
        </is>
      </c>
      <c r="B288" s="1" t="n">
        <v>45058</v>
      </c>
      <c r="C288" s="1" t="n">
        <v>45807</v>
      </c>
      <c r="D288" t="inlineStr">
        <is>
          <t>DALARNAS LÄN</t>
        </is>
      </c>
      <c r="E288" t="inlineStr">
        <is>
          <t>AVESTA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21412-2023</t>
        </is>
      </c>
      <c r="B289" s="1" t="n">
        <v>45058</v>
      </c>
      <c r="C289" s="1" t="n">
        <v>45807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21322-2023</t>
        </is>
      </c>
      <c r="B290" s="1" t="n">
        <v>45058</v>
      </c>
      <c r="C290" s="1" t="n">
        <v>45807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21430-2023</t>
        </is>
      </c>
      <c r="B291" s="1" t="n">
        <v>45058</v>
      </c>
      <c r="C291" s="1" t="n">
        <v>45807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22876-2023</t>
        </is>
      </c>
      <c r="B292" s="1" t="n">
        <v>45070</v>
      </c>
      <c r="C292" s="1" t="n">
        <v>45807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22816-2023</t>
        </is>
      </c>
      <c r="B293" s="1" t="n">
        <v>45072</v>
      </c>
      <c r="C293" s="1" t="n">
        <v>45807</v>
      </c>
      <c r="D293" t="inlineStr">
        <is>
          <t>DALARNAS LÄN</t>
        </is>
      </c>
      <c r="E293" t="inlineStr">
        <is>
          <t>AVESTA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22818-2023</t>
        </is>
      </c>
      <c r="B294" s="1" t="n">
        <v>45072</v>
      </c>
      <c r="C294" s="1" t="n">
        <v>45807</v>
      </c>
      <c r="D294" t="inlineStr">
        <is>
          <t>DALARNAS LÄN</t>
        </is>
      </c>
      <c r="E294" t="inlineStr">
        <is>
          <t>AVESTA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23974-2023</t>
        </is>
      </c>
      <c r="B295" s="1" t="n">
        <v>45078</v>
      </c>
      <c r="C295" s="1" t="n">
        <v>45807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24177-2023</t>
        </is>
      </c>
      <c r="B296" s="1" t="n">
        <v>45079</v>
      </c>
      <c r="C296" s="1" t="n">
        <v>45807</v>
      </c>
      <c r="D296" t="inlineStr">
        <is>
          <t>DALARNAS LÄN</t>
        </is>
      </c>
      <c r="E296" t="inlineStr">
        <is>
          <t>AVESTA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25463-2023</t>
        </is>
      </c>
      <c r="B297" s="1" t="n">
        <v>45082</v>
      </c>
      <c r="C297" s="1" t="n">
        <v>45807</v>
      </c>
      <c r="D297" t="inlineStr">
        <is>
          <t>DALARNAS LÄN</t>
        </is>
      </c>
      <c r="E297" t="inlineStr">
        <is>
          <t>AVESTA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25445-2023</t>
        </is>
      </c>
      <c r="B298" s="1" t="n">
        <v>45082</v>
      </c>
      <c r="C298" s="1" t="n">
        <v>45807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25743-2023</t>
        </is>
      </c>
      <c r="B299" s="1" t="n">
        <v>45084</v>
      </c>
      <c r="C299" s="1" t="n">
        <v>45807</v>
      </c>
      <c r="D299" t="inlineStr">
        <is>
          <t>DALARNAS LÄN</t>
        </is>
      </c>
      <c r="E299" t="inlineStr">
        <is>
          <t>AVESTA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26317-2023</t>
        </is>
      </c>
      <c r="B300" s="1" t="n">
        <v>45091</v>
      </c>
      <c r="C300" s="1" t="n">
        <v>45807</v>
      </c>
      <c r="D300" t="inlineStr">
        <is>
          <t>DALARNAS LÄN</t>
        </is>
      </c>
      <c r="E300" t="inlineStr">
        <is>
          <t>AVESTA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26715-2023</t>
        </is>
      </c>
      <c r="B301" s="1" t="n">
        <v>45093</v>
      </c>
      <c r="C301" s="1" t="n">
        <v>45807</v>
      </c>
      <c r="D301" t="inlineStr">
        <is>
          <t>DALARNAS LÄN</t>
        </is>
      </c>
      <c r="E301" t="inlineStr">
        <is>
          <t>AVESTA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31116-2023</t>
        </is>
      </c>
      <c r="B302" s="1" t="n">
        <v>45103</v>
      </c>
      <c r="C302" s="1" t="n">
        <v>45807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31136-2023</t>
        </is>
      </c>
      <c r="B303" s="1" t="n">
        <v>45103</v>
      </c>
      <c r="C303" s="1" t="n">
        <v>45807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30612-2023</t>
        </is>
      </c>
      <c r="B304" s="1" t="n">
        <v>45112</v>
      </c>
      <c r="C304" s="1" t="n">
        <v>45807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32682-2023</t>
        </is>
      </c>
      <c r="B305" s="1" t="n">
        <v>45112</v>
      </c>
      <c r="C305" s="1" t="n">
        <v>45807</v>
      </c>
      <c r="D305" t="inlineStr">
        <is>
          <t>DALARNAS LÄN</t>
        </is>
      </c>
      <c r="E305" t="inlineStr">
        <is>
          <t>AVESTA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32684-2023</t>
        </is>
      </c>
      <c r="B306" s="1" t="n">
        <v>45112</v>
      </c>
      <c r="C306" s="1" t="n">
        <v>45807</v>
      </c>
      <c r="D306" t="inlineStr">
        <is>
          <t>DALARNAS LÄN</t>
        </is>
      </c>
      <c r="E306" t="inlineStr">
        <is>
          <t>AVESTA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32084-2023</t>
        </is>
      </c>
      <c r="B307" s="1" t="n">
        <v>45119</v>
      </c>
      <c r="C307" s="1" t="n">
        <v>45807</v>
      </c>
      <c r="D307" t="inlineStr">
        <is>
          <t>DALARNAS LÄN</t>
        </is>
      </c>
      <c r="E307" t="inlineStr">
        <is>
          <t>AVESTA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32768-2023</t>
        </is>
      </c>
      <c r="B308" s="1" t="n">
        <v>45123</v>
      </c>
      <c r="C308" s="1" t="n">
        <v>45807</v>
      </c>
      <c r="D308" t="inlineStr">
        <is>
          <t>DALARNAS LÄN</t>
        </is>
      </c>
      <c r="E308" t="inlineStr">
        <is>
          <t>AVESTA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32769-2023</t>
        </is>
      </c>
      <c r="B309" s="1" t="n">
        <v>45123</v>
      </c>
      <c r="C309" s="1" t="n">
        <v>45807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32771-2023</t>
        </is>
      </c>
      <c r="B310" s="1" t="n">
        <v>45123</v>
      </c>
      <c r="C310" s="1" t="n">
        <v>45807</v>
      </c>
      <c r="D310" t="inlineStr">
        <is>
          <t>DALARNAS LÄN</t>
        </is>
      </c>
      <c r="E310" t="inlineStr">
        <is>
          <t>AVESTA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32770-2023</t>
        </is>
      </c>
      <c r="B311" s="1" t="n">
        <v>45123</v>
      </c>
      <c r="C311" s="1" t="n">
        <v>45807</v>
      </c>
      <c r="D311" t="inlineStr">
        <is>
          <t>DALARNAS LÄN</t>
        </is>
      </c>
      <c r="E311" t="inlineStr">
        <is>
          <t>AVESTA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34186-2023</t>
        </is>
      </c>
      <c r="B312" s="1" t="n">
        <v>45138</v>
      </c>
      <c r="C312" s="1" t="n">
        <v>45807</v>
      </c>
      <c r="D312" t="inlineStr">
        <is>
          <t>DALARNAS LÄN</t>
        </is>
      </c>
      <c r="E312" t="inlineStr">
        <is>
          <t>AVESTA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34190-2023</t>
        </is>
      </c>
      <c r="B313" s="1" t="n">
        <v>45138</v>
      </c>
      <c r="C313" s="1" t="n">
        <v>45807</v>
      </c>
      <c r="D313" t="inlineStr">
        <is>
          <t>DALARNAS LÄN</t>
        </is>
      </c>
      <c r="E313" t="inlineStr">
        <is>
          <t>AVESTA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35078-2023</t>
        </is>
      </c>
      <c r="B314" s="1" t="n">
        <v>45142</v>
      </c>
      <c r="C314" s="1" t="n">
        <v>45807</v>
      </c>
      <c r="D314" t="inlineStr">
        <is>
          <t>DALARNAS LÄN</t>
        </is>
      </c>
      <c r="E314" t="inlineStr">
        <is>
          <t>AVESTA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38441-2023</t>
        </is>
      </c>
      <c r="B315" s="1" t="n">
        <v>45162</v>
      </c>
      <c r="C315" s="1" t="n">
        <v>45807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40873-2023</t>
        </is>
      </c>
      <c r="B316" s="1" t="n">
        <v>45173</v>
      </c>
      <c r="C316" s="1" t="n">
        <v>45807</v>
      </c>
      <c r="D316" t="inlineStr">
        <is>
          <t>DALARNAS LÄN</t>
        </is>
      </c>
      <c r="E316" t="inlineStr">
        <is>
          <t>AVESTA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41019-2023</t>
        </is>
      </c>
      <c r="B317" s="1" t="n">
        <v>45173</v>
      </c>
      <c r="C317" s="1" t="n">
        <v>45807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41018-2023</t>
        </is>
      </c>
      <c r="B318" s="1" t="n">
        <v>45173</v>
      </c>
      <c r="C318" s="1" t="n">
        <v>45807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41026-2023</t>
        </is>
      </c>
      <c r="B319" s="1" t="n">
        <v>45173</v>
      </c>
      <c r="C319" s="1" t="n">
        <v>45807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41611-2023</t>
        </is>
      </c>
      <c r="B320" s="1" t="n">
        <v>45175</v>
      </c>
      <c r="C320" s="1" t="n">
        <v>45807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41609-2023</t>
        </is>
      </c>
      <c r="B321" s="1" t="n">
        <v>45175</v>
      </c>
      <c r="C321" s="1" t="n">
        <v>45807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41461-2023</t>
        </is>
      </c>
      <c r="B322" s="1" t="n">
        <v>45175</v>
      </c>
      <c r="C322" s="1" t="n">
        <v>45807</v>
      </c>
      <c r="D322" t="inlineStr">
        <is>
          <t>DALARNAS LÄN</t>
        </is>
      </c>
      <c r="E322" t="inlineStr">
        <is>
          <t>AVESTA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43086-2023</t>
        </is>
      </c>
      <c r="B323" s="1" t="n">
        <v>45182</v>
      </c>
      <c r="C323" s="1" t="n">
        <v>45807</v>
      </c>
      <c r="D323" t="inlineStr">
        <is>
          <t>DALARNAS LÄN</t>
        </is>
      </c>
      <c r="E323" t="inlineStr">
        <is>
          <t>AVESTA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43738-2023</t>
        </is>
      </c>
      <c r="B324" s="1" t="n">
        <v>45187</v>
      </c>
      <c r="C324" s="1" t="n">
        <v>45807</v>
      </c>
      <c r="D324" t="inlineStr">
        <is>
          <t>DALARNAS LÄN</t>
        </is>
      </c>
      <c r="E324" t="inlineStr">
        <is>
          <t>AVESTA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45631-2023</t>
        </is>
      </c>
      <c r="B325" s="1" t="n">
        <v>45188</v>
      </c>
      <c r="C325" s="1" t="n">
        <v>45807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44853-2023</t>
        </is>
      </c>
      <c r="B326" s="1" t="n">
        <v>45190</v>
      </c>
      <c r="C326" s="1" t="n">
        <v>45807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44848-2023</t>
        </is>
      </c>
      <c r="B327" s="1" t="n">
        <v>45190</v>
      </c>
      <c r="C327" s="1" t="n">
        <v>45807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44843-2023</t>
        </is>
      </c>
      <c r="B328" s="1" t="n">
        <v>45190</v>
      </c>
      <c r="C328" s="1" t="n">
        <v>45807</v>
      </c>
      <c r="D328" t="inlineStr">
        <is>
          <t>DALARNAS LÄN</t>
        </is>
      </c>
      <c r="E328" t="inlineStr">
        <is>
          <t>AVESTA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45303-2023</t>
        </is>
      </c>
      <c r="B329" s="1" t="n">
        <v>45191</v>
      </c>
      <c r="C329" s="1" t="n">
        <v>45807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46315-2023</t>
        </is>
      </c>
      <c r="B330" s="1" t="n">
        <v>45191</v>
      </c>
      <c r="C330" s="1" t="n">
        <v>45807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46017-2023</t>
        </is>
      </c>
      <c r="B331" s="1" t="n">
        <v>45196</v>
      </c>
      <c r="C331" s="1" t="n">
        <v>45807</v>
      </c>
      <c r="D331" t="inlineStr">
        <is>
          <t>DALARNAS LÄN</t>
        </is>
      </c>
      <c r="E331" t="inlineStr">
        <is>
          <t>AVESTA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46253-2023</t>
        </is>
      </c>
      <c r="B332" s="1" t="n">
        <v>45197</v>
      </c>
      <c r="C332" s="1" t="n">
        <v>45807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46279-2023</t>
        </is>
      </c>
      <c r="B333" s="1" t="n">
        <v>45197</v>
      </c>
      <c r="C333" s="1" t="n">
        <v>45807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46252-2023</t>
        </is>
      </c>
      <c r="B334" s="1" t="n">
        <v>45197</v>
      </c>
      <c r="C334" s="1" t="n">
        <v>45807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46517-2023</t>
        </is>
      </c>
      <c r="B335" s="1" t="n">
        <v>45197</v>
      </c>
      <c r="C335" s="1" t="n">
        <v>45807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47402-2023</t>
        </is>
      </c>
      <c r="B336" s="1" t="n">
        <v>45202</v>
      </c>
      <c r="C336" s="1" t="n">
        <v>45807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48402-2023</t>
        </is>
      </c>
      <c r="B337" s="1" t="n">
        <v>45205</v>
      </c>
      <c r="C337" s="1" t="n">
        <v>45807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48401-2023</t>
        </is>
      </c>
      <c r="B338" s="1" t="n">
        <v>45205</v>
      </c>
      <c r="C338" s="1" t="n">
        <v>45807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48817-2023</t>
        </is>
      </c>
      <c r="B339" s="1" t="n">
        <v>45209</v>
      </c>
      <c r="C339" s="1" t="n">
        <v>45807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48822-2023</t>
        </is>
      </c>
      <c r="B340" s="1" t="n">
        <v>45209</v>
      </c>
      <c r="C340" s="1" t="n">
        <v>45807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48882-2023</t>
        </is>
      </c>
      <c r="B341" s="1" t="n">
        <v>45209</v>
      </c>
      <c r="C341" s="1" t="n">
        <v>45807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49286-2023</t>
        </is>
      </c>
      <c r="B342" s="1" t="n">
        <v>45210</v>
      </c>
      <c r="C342" s="1" t="n">
        <v>45807</v>
      </c>
      <c r="D342" t="inlineStr">
        <is>
          <t>DALARNAS LÄN</t>
        </is>
      </c>
      <c r="E342" t="inlineStr">
        <is>
          <t>AVESTA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49433-2023</t>
        </is>
      </c>
      <c r="B343" s="1" t="n">
        <v>45211</v>
      </c>
      <c r="C343" s="1" t="n">
        <v>45807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49431-2023</t>
        </is>
      </c>
      <c r="B344" s="1" t="n">
        <v>45211</v>
      </c>
      <c r="C344" s="1" t="n">
        <v>45807</v>
      </c>
      <c r="D344" t="inlineStr">
        <is>
          <t>DALARNAS LÄN</t>
        </is>
      </c>
      <c r="E344" t="inlineStr">
        <is>
          <t>AVESTA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50197-2023</t>
        </is>
      </c>
      <c r="B345" s="1" t="n">
        <v>45215</v>
      </c>
      <c r="C345" s="1" t="n">
        <v>45807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52433-2023</t>
        </is>
      </c>
      <c r="B346" s="1" t="n">
        <v>45225</v>
      </c>
      <c r="C346" s="1" t="n">
        <v>45807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52831-2023</t>
        </is>
      </c>
      <c r="B347" s="1" t="n">
        <v>45226</v>
      </c>
      <c r="C347" s="1" t="n">
        <v>45807</v>
      </c>
      <c r="D347" t="inlineStr">
        <is>
          <t>DALARNAS LÄN</t>
        </is>
      </c>
      <c r="E347" t="inlineStr">
        <is>
          <t>AVESTA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53820-2023</t>
        </is>
      </c>
      <c r="B348" s="1" t="n">
        <v>45231</v>
      </c>
      <c r="C348" s="1" t="n">
        <v>45807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54137-2023</t>
        </is>
      </c>
      <c r="B349" s="1" t="n">
        <v>45232</v>
      </c>
      <c r="C349" s="1" t="n">
        <v>45807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55549-2023</t>
        </is>
      </c>
      <c r="B350" s="1" t="n">
        <v>45232</v>
      </c>
      <c r="C350" s="1" t="n">
        <v>45807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56026-2023</t>
        </is>
      </c>
      <c r="B351" s="1" t="n">
        <v>45233</v>
      </c>
      <c r="C351" s="1" t="n">
        <v>45807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54508-2023</t>
        </is>
      </c>
      <c r="B352" s="1" t="n">
        <v>45233</v>
      </c>
      <c r="C352" s="1" t="n">
        <v>45807</v>
      </c>
      <c r="D352" t="inlineStr">
        <is>
          <t>DALARNAS LÄN</t>
        </is>
      </c>
      <c r="E352" t="inlineStr">
        <is>
          <t>AVESTA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54502-2023</t>
        </is>
      </c>
      <c r="B353" s="1" t="n">
        <v>45233</v>
      </c>
      <c r="C353" s="1" t="n">
        <v>45807</v>
      </c>
      <c r="D353" t="inlineStr">
        <is>
          <t>DALARNAS LÄN</t>
        </is>
      </c>
      <c r="E353" t="inlineStr">
        <is>
          <t>AVESTA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55203-2023</t>
        </is>
      </c>
      <c r="B354" s="1" t="n">
        <v>45237</v>
      </c>
      <c r="C354" s="1" t="n">
        <v>45807</v>
      </c>
      <c r="D354" t="inlineStr">
        <is>
          <t>DALARNAS LÄN</t>
        </is>
      </c>
      <c r="E354" t="inlineStr">
        <is>
          <t>AVESTA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55384-2023</t>
        </is>
      </c>
      <c r="B355" s="1" t="n">
        <v>45238</v>
      </c>
      <c r="C355" s="1" t="n">
        <v>45807</v>
      </c>
      <c r="D355" t="inlineStr">
        <is>
          <t>DALARNAS LÄN</t>
        </is>
      </c>
      <c r="E355" t="inlineStr">
        <is>
          <t>AVESTA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56594-2023</t>
        </is>
      </c>
      <c r="B356" s="1" t="n">
        <v>45243</v>
      </c>
      <c r="C356" s="1" t="n">
        <v>45807</v>
      </c>
      <c r="D356" t="inlineStr">
        <is>
          <t>DALARNAS LÄN</t>
        </is>
      </c>
      <c r="E356" t="inlineStr">
        <is>
          <t>AVESTA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56571-2023</t>
        </is>
      </c>
      <c r="B357" s="1" t="n">
        <v>45243</v>
      </c>
      <c r="C357" s="1" t="n">
        <v>45807</v>
      </c>
      <c r="D357" t="inlineStr">
        <is>
          <t>DALARNAS LÄN</t>
        </is>
      </c>
      <c r="E357" t="inlineStr">
        <is>
          <t>AVESTA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58822-2023</t>
        </is>
      </c>
      <c r="B358" s="1" t="n">
        <v>45252</v>
      </c>
      <c r="C358" s="1" t="n">
        <v>45807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58812-2023</t>
        </is>
      </c>
      <c r="B359" s="1" t="n">
        <v>45252</v>
      </c>
      <c r="C359" s="1" t="n">
        <v>45807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58817-2023</t>
        </is>
      </c>
      <c r="B360" s="1" t="n">
        <v>45252</v>
      </c>
      <c r="C360" s="1" t="n">
        <v>45807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59172-2023</t>
        </is>
      </c>
      <c r="B361" s="1" t="n">
        <v>45253</v>
      </c>
      <c r="C361" s="1" t="n">
        <v>45807</v>
      </c>
      <c r="D361" t="inlineStr">
        <is>
          <t>DALARNAS LÄN</t>
        </is>
      </c>
      <c r="E361" t="inlineStr">
        <is>
          <t>AVESTA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45807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45807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45807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45807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45807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45807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45807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45807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45807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45807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45807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45807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45807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45807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45807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45807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45807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45807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45807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45807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45807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45807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45807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45807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45807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45807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45807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45807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45807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45807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45807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45807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45807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45807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45807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45807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45807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45807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45807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45807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45807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45807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45807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45807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45807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45807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45807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45807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45807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45807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45807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45807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45807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45807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45807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45807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45807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45807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45807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45807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45807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45807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45807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45807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45807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45807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45807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45807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45807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45807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45807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45807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45807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45807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45807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45807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45807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45807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45807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45807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45807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45807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45807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45807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45807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45807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45807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45807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45807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45807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45807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45807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45807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45807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45807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45807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45807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45807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45807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45807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45807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45807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45807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45807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45807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45807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45807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45807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45807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45807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45807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45807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45807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45807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45807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45807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45807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45807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45807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45807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45807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45807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45807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45807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45807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45807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45807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45807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45807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45807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45807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45807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45807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45807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45807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45807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45807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45807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45807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45807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45807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45807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45807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45807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45807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45807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45807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45807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45807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45807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45807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45807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45807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45807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45807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45807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45807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45807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45807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45807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45807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45807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45807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45807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45807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45807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45807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45807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45807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45807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45807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45807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45807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45807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45807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45807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45807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45807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45807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45807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45807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45807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45807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45807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45807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45807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45807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45807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45807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45807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45807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45807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45807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45807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45807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45807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45807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45807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45807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45807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45807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45807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45807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45807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45807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45807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45807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45807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45807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45807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45807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45807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45807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45807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45807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45807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45807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45807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45807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45807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45807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20835-2025</t>
        </is>
      </c>
      <c r="B583" s="1" t="n">
        <v>45776</v>
      </c>
      <c r="C583" s="1" t="n">
        <v>45807</v>
      </c>
      <c r="D583" t="inlineStr">
        <is>
          <t>DALARNAS LÄN</t>
        </is>
      </c>
      <c r="E583" t="inlineStr">
        <is>
          <t>AVESTA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20834-2025</t>
        </is>
      </c>
      <c r="B584" s="1" t="n">
        <v>45776</v>
      </c>
      <c r="C584" s="1" t="n">
        <v>45807</v>
      </c>
      <c r="D584" t="inlineStr">
        <is>
          <t>DALARNAS LÄN</t>
        </is>
      </c>
      <c r="E584" t="inlineStr">
        <is>
          <t>AVESTA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45807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45807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21769-2025</t>
        </is>
      </c>
      <c r="B587" s="1" t="n">
        <v>45783</v>
      </c>
      <c r="C587" s="1" t="n">
        <v>45807</v>
      </c>
      <c r="D587" t="inlineStr">
        <is>
          <t>DALARNAS LÄN</t>
        </is>
      </c>
      <c r="E587" t="inlineStr">
        <is>
          <t>AVESTA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21766-2025</t>
        </is>
      </c>
      <c r="B588" s="1" t="n">
        <v>45783</v>
      </c>
      <c r="C588" s="1" t="n">
        <v>45807</v>
      </c>
      <c r="D588" t="inlineStr">
        <is>
          <t>DALARNAS LÄN</t>
        </is>
      </c>
      <c r="E588" t="inlineStr">
        <is>
          <t>AVESTA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21775-2025</t>
        </is>
      </c>
      <c r="B589" s="1" t="n">
        <v>45783</v>
      </c>
      <c r="C589" s="1" t="n">
        <v>45807</v>
      </c>
      <c r="D589" t="inlineStr">
        <is>
          <t>DALARNAS LÄN</t>
        </is>
      </c>
      <c r="E589" t="inlineStr">
        <is>
          <t>AVESTA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23200-2025</t>
        </is>
      </c>
      <c r="B590" s="1" t="n">
        <v>45791</v>
      </c>
      <c r="C590" s="1" t="n">
        <v>45807</v>
      </c>
      <c r="D590" t="inlineStr">
        <is>
          <t>DALARNAS LÄN</t>
        </is>
      </c>
      <c r="E590" t="inlineStr">
        <is>
          <t>AVESTA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23146-2025</t>
        </is>
      </c>
      <c r="B591" s="1" t="n">
        <v>45791</v>
      </c>
      <c r="C591" s="1" t="n">
        <v>45807</v>
      </c>
      <c r="D591" t="inlineStr">
        <is>
          <t>DALARNAS LÄN</t>
        </is>
      </c>
      <c r="E591" t="inlineStr">
        <is>
          <t>AVESTA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23568-2025</t>
        </is>
      </c>
      <c r="B592" s="1" t="n">
        <v>45792</v>
      </c>
      <c r="C592" s="1" t="n">
        <v>45807</v>
      </c>
      <c r="D592" t="inlineStr">
        <is>
          <t>DALARNAS LÄN</t>
        </is>
      </c>
      <c r="E592" t="inlineStr">
        <is>
          <t>AVESTA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23439-2025</t>
        </is>
      </c>
      <c r="B593" s="1" t="n">
        <v>45792</v>
      </c>
      <c r="C593" s="1" t="n">
        <v>45807</v>
      </c>
      <c r="D593" t="inlineStr">
        <is>
          <t>DALARNAS LÄN</t>
        </is>
      </c>
      <c r="E593" t="inlineStr">
        <is>
          <t>AVESTA</t>
        </is>
      </c>
      <c r="F593" t="inlineStr">
        <is>
          <t>Sveaskog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24196-2025</t>
        </is>
      </c>
      <c r="B594" s="1" t="n">
        <v>45796</v>
      </c>
      <c r="C594" s="1" t="n">
        <v>45807</v>
      </c>
      <c r="D594" t="inlineStr">
        <is>
          <t>DALARNAS LÄN</t>
        </is>
      </c>
      <c r="E594" t="inlineStr">
        <is>
          <t>AVESTA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24197-2025</t>
        </is>
      </c>
      <c r="B595" s="1" t="n">
        <v>45796</v>
      </c>
      <c r="C595" s="1" t="n">
        <v>45807</v>
      </c>
      <c r="D595" t="inlineStr">
        <is>
          <t>DALARNAS LÄN</t>
        </is>
      </c>
      <c r="E595" t="inlineStr">
        <is>
          <t>AVESTA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24194-2025</t>
        </is>
      </c>
      <c r="B596" s="1" t="n">
        <v>45796</v>
      </c>
      <c r="C596" s="1" t="n">
        <v>45807</v>
      </c>
      <c r="D596" t="inlineStr">
        <is>
          <t>DALARNAS LÄN</t>
        </is>
      </c>
      <c r="E596" t="inlineStr">
        <is>
          <t>AVESTA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24198-2025</t>
        </is>
      </c>
      <c r="B597" s="1" t="n">
        <v>45796</v>
      </c>
      <c r="C597" s="1" t="n">
        <v>45807</v>
      </c>
      <c r="D597" t="inlineStr">
        <is>
          <t>DALARNAS LÄN</t>
        </is>
      </c>
      <c r="E597" t="inlineStr">
        <is>
          <t>AVESTA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24200-2025</t>
        </is>
      </c>
      <c r="B598" s="1" t="n">
        <v>45797</v>
      </c>
      <c r="C598" s="1" t="n">
        <v>45807</v>
      </c>
      <c r="D598" t="inlineStr">
        <is>
          <t>DALARNAS LÄN</t>
        </is>
      </c>
      <c r="E598" t="inlineStr">
        <is>
          <t>AVESTA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24123-2025</t>
        </is>
      </c>
      <c r="B599" s="1" t="n">
        <v>45796</v>
      </c>
      <c r="C599" s="1" t="n">
        <v>45807</v>
      </c>
      <c r="D599" t="inlineStr">
        <is>
          <t>DALARNAS LÄN</t>
        </is>
      </c>
      <c r="E599" t="inlineStr">
        <is>
          <t>AVESTA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24201-2025</t>
        </is>
      </c>
      <c r="B600" s="1" t="n">
        <v>45797</v>
      </c>
      <c r="C600" s="1" t="n">
        <v>45807</v>
      </c>
      <c r="D600" t="inlineStr">
        <is>
          <t>DALARNAS LÄN</t>
        </is>
      </c>
      <c r="E600" t="inlineStr">
        <is>
          <t>AVESTA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24147-2025</t>
        </is>
      </c>
      <c r="B601" s="1" t="n">
        <v>45796</v>
      </c>
      <c r="C601" s="1" t="n">
        <v>45807</v>
      </c>
      <c r="D601" t="inlineStr">
        <is>
          <t>DALARNAS LÄN</t>
        </is>
      </c>
      <c r="E601" t="inlineStr">
        <is>
          <t>AVESTA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24199-2025</t>
        </is>
      </c>
      <c r="B602" s="1" t="n">
        <v>45797</v>
      </c>
      <c r="C602" s="1" t="n">
        <v>45807</v>
      </c>
      <c r="D602" t="inlineStr">
        <is>
          <t>DALARNAS LÄN</t>
        </is>
      </c>
      <c r="E602" t="inlineStr">
        <is>
          <t>AVESTA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24195-2025</t>
        </is>
      </c>
      <c r="B603" s="1" t="n">
        <v>45796</v>
      </c>
      <c r="C603" s="1" t="n">
        <v>45807</v>
      </c>
      <c r="D603" t="inlineStr">
        <is>
          <t>DALARNAS LÄN</t>
        </is>
      </c>
      <c r="E603" t="inlineStr">
        <is>
          <t>AVESTA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24838-2025</t>
        </is>
      </c>
      <c r="B604" s="1" t="n">
        <v>45799</v>
      </c>
      <c r="C604" s="1" t="n">
        <v>45807</v>
      </c>
      <c r="D604" t="inlineStr">
        <is>
          <t>DALARNAS LÄN</t>
        </is>
      </c>
      <c r="E604" t="inlineStr">
        <is>
          <t>AVESTA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24867-2025</t>
        </is>
      </c>
      <c r="B605" s="1" t="n">
        <v>45799</v>
      </c>
      <c r="C605" s="1" t="n">
        <v>45807</v>
      </c>
      <c r="D605" t="inlineStr">
        <is>
          <t>DALARNAS LÄN</t>
        </is>
      </c>
      <c r="E605" t="inlineStr">
        <is>
          <t>AVESTA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24834-2025</t>
        </is>
      </c>
      <c r="B606" s="1" t="n">
        <v>45799</v>
      </c>
      <c r="C606" s="1" t="n">
        <v>45807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24845-2025</t>
        </is>
      </c>
      <c r="B607" s="1" t="n">
        <v>45799</v>
      </c>
      <c r="C607" s="1" t="n">
        <v>45807</v>
      </c>
      <c r="D607" t="inlineStr">
        <is>
          <t>DALARNAS LÄN</t>
        </is>
      </c>
      <c r="E607" t="inlineStr">
        <is>
          <t>AVESTA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25115-2025</t>
        </is>
      </c>
      <c r="B608" s="1" t="n">
        <v>45800</v>
      </c>
      <c r="C608" s="1" t="n">
        <v>45807</v>
      </c>
      <c r="D608" t="inlineStr">
        <is>
          <t>DALARNAS LÄN</t>
        </is>
      </c>
      <c r="E608" t="inlineStr">
        <is>
          <t>AVESTA</t>
        </is>
      </c>
      <c r="F608" t="inlineStr">
        <is>
          <t>Sveaskog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25397-2025</t>
        </is>
      </c>
      <c r="B609" s="1" t="n">
        <v>45800</v>
      </c>
      <c r="C609" s="1" t="n">
        <v>45807</v>
      </c>
      <c r="D609" t="inlineStr">
        <is>
          <t>DALARNAS LÄN</t>
        </is>
      </c>
      <c r="E609" t="inlineStr">
        <is>
          <t>AVESTA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25665-2025</t>
        </is>
      </c>
      <c r="B610" s="1" t="n">
        <v>45803</v>
      </c>
      <c r="C610" s="1" t="n">
        <v>45807</v>
      </c>
      <c r="D610" t="inlineStr">
        <is>
          <t>DALARNAS LÄN</t>
        </is>
      </c>
      <c r="E610" t="inlineStr">
        <is>
          <t>AVESTA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25658-2025</t>
        </is>
      </c>
      <c r="B611" s="1" t="n">
        <v>45803</v>
      </c>
      <c r="C611" s="1" t="n">
        <v>45807</v>
      </c>
      <c r="D611" t="inlineStr">
        <is>
          <t>DALARNAS LÄN</t>
        </is>
      </c>
      <c r="E611" t="inlineStr">
        <is>
          <t>AVESTA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25646-2025</t>
        </is>
      </c>
      <c r="B612" s="1" t="n">
        <v>45803</v>
      </c>
      <c r="C612" s="1" t="n">
        <v>45807</v>
      </c>
      <c r="D612" t="inlineStr">
        <is>
          <t>DALARNAS LÄN</t>
        </is>
      </c>
      <c r="E612" t="inlineStr">
        <is>
          <t>AVESTA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25882-2025</t>
        </is>
      </c>
      <c r="B613" s="1" t="n">
        <v>45804</v>
      </c>
      <c r="C613" s="1" t="n">
        <v>45807</v>
      </c>
      <c r="D613" t="inlineStr">
        <is>
          <t>DALARNAS LÄN</t>
        </is>
      </c>
      <c r="E613" t="inlineStr">
        <is>
          <t>AVESTA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2025-05-30T17:51:00Z</dcterms:created>
  <dcterms:modified xmlns:dcterms="http://purl.org/dc/terms/" xmlns:xsi="http://www.w3.org/2001/XMLSchema-instance" xsi:type="dcterms:W3CDTF">2025-05-30T17:51:00Z</dcterms:modified>
</cp:coreProperties>
</file>