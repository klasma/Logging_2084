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46200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46200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46200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</v>
      </c>
      <c r="C7" s="1" t="n">
        <v>46200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46200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46200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46200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46200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s="1" t="n">
        <v>45562</v>
      </c>
      <c r="C13" s="1" t="n">
        <v>46200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HYPERLINK("https://klasma.github.io/Logging_2084/artfynd/A 42290-2024 artfynd.xlsx", "A 42290-2024")</f>
        <v/>
      </c>
      <c r="T13">
        <f>HYPERLINK("https://klasma.github.io/Logging_2084/kartor/A 42290-2024 karta.png", "A 42290-2024")</f>
        <v/>
      </c>
      <c r="V13">
        <f>HYPERLINK("https://klasma.github.io/Logging_2084/klagomål/A 42290-2024 FSC-klagomål.docx", "A 42290-2024")</f>
        <v/>
      </c>
      <c r="W13">
        <f>HYPERLINK("https://klasma.github.io/Logging_2084/klagomålsmail/A 42290-2024 FSC-klagomål mail.docx", "A 42290-2024")</f>
        <v/>
      </c>
      <c r="X13">
        <f>HYPERLINK("https://klasma.github.io/Logging_2084/tillsyn/A 42290-2024 tillsynsbegäran.docx", "A 42290-2024")</f>
        <v/>
      </c>
      <c r="Y13">
        <f>HYPERLINK("https://klasma.github.io/Logging_2084/tillsynsmail/A 42290-2024 tillsynsbegäran mail.docx", "A 42290-2024")</f>
        <v/>
      </c>
      <c r="Z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46200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46200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10943-2024</t>
        </is>
      </c>
      <c r="B17" s="1" t="n">
        <v>45370</v>
      </c>
      <c r="C17" s="1" t="n">
        <v>46200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43508-2024</t>
        </is>
      </c>
      <c r="B18" s="1" t="n">
        <v>45569</v>
      </c>
      <c r="C18" s="1" t="n">
        <v>46200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43508-2024 artfynd.xlsx", "A 43508-2024")</f>
        <v/>
      </c>
      <c r="T18">
        <f>HYPERLINK("https://klasma.github.io/Logging_2084/kartor/A 43508-2024 karta.png", "A 43508-2024")</f>
        <v/>
      </c>
      <c r="V18">
        <f>HYPERLINK("https://klasma.github.io/Logging_2084/klagomål/A 43508-2024 FSC-klagomål.docx", "A 43508-2024")</f>
        <v/>
      </c>
      <c r="W18">
        <f>HYPERLINK("https://klasma.github.io/Logging_2084/klagomålsmail/A 43508-2024 FSC-klagomål mail.docx", "A 43508-2024")</f>
        <v/>
      </c>
      <c r="X18">
        <f>HYPERLINK("https://klasma.github.io/Logging_2084/tillsyn/A 43508-2024 tillsynsbegäran.docx", "A 43508-2024")</f>
        <v/>
      </c>
      <c r="Y18">
        <f>HYPERLINK("https://klasma.github.io/Logging_2084/tillsynsmail/A 43508-2024 tillsynsbegäran mail.docx", "A 43508-2024")</f>
        <v/>
      </c>
    </row>
    <row r="19" ht="15" customHeight="1">
      <c r="A19" t="inlineStr">
        <is>
          <t>A 44853-2023</t>
        </is>
      </c>
      <c r="B19" s="1" t="n">
        <v>45190</v>
      </c>
      <c r="C19" s="1" t="n">
        <v>46200</v>
      </c>
      <c r="D19" t="inlineStr">
        <is>
          <t>DALARNAS LÄN</t>
        </is>
      </c>
      <c r="E19" t="inlineStr">
        <is>
          <t>AVESTA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Knytlingsäckmal</t>
        </is>
      </c>
      <c r="S19">
        <f>HYPERLINK("https://klasma.github.io/Logging_2084/artfynd/A 44853-2023 artfynd.xlsx", "A 44853-2023")</f>
        <v/>
      </c>
      <c r="T19">
        <f>HYPERLINK("https://klasma.github.io/Logging_2084/kartor/A 44853-2023 karta.png", "A 44853-2023")</f>
        <v/>
      </c>
      <c r="V19">
        <f>HYPERLINK("https://klasma.github.io/Logging_2084/klagomål/A 44853-2023 FSC-klagomål.docx", "A 44853-2023")</f>
        <v/>
      </c>
      <c r="W19">
        <f>HYPERLINK("https://klasma.github.io/Logging_2084/klagomålsmail/A 44853-2023 FSC-klagomål mail.docx", "A 44853-2023")</f>
        <v/>
      </c>
      <c r="X19">
        <f>HYPERLINK("https://klasma.github.io/Logging_2084/tillsyn/A 44853-2023 tillsynsbegäran.docx", "A 44853-2023")</f>
        <v/>
      </c>
      <c r="Y19">
        <f>HYPERLINK("https://klasma.github.io/Logging_2084/tillsynsmail/A 44853-2023 tillsynsbegäran mail.docx", "A 44853-2023")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46200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36007-2025</t>
        </is>
      </c>
      <c r="B21" s="1" t="n">
        <v>45863</v>
      </c>
      <c r="C21" s="1" t="n">
        <v>46200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</v>
      </c>
      <c r="C22" s="1" t="n">
        <v>46200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</v>
      </c>
      <c r="C23" s="1" t="n">
        <v>46200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39253-2025</t>
        </is>
      </c>
      <c r="B24" s="1" t="n">
        <v>45889</v>
      </c>
      <c r="C24" s="1" t="n">
        <v>46200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HYPERLINK("https://klasma.github.io/Logging_2084/artfynd/A 39253-2025 artfynd.xlsx", "A 39253-2025")</f>
        <v/>
      </c>
      <c r="T24">
        <f>HYPERLINK("https://klasma.github.io/Logging_2084/kartor/A 39253-2025 karta.png", "A 39253-2025")</f>
        <v/>
      </c>
      <c r="V24">
        <f>HYPERLINK("https://klasma.github.io/Logging_2084/klagomål/A 39253-2025 FSC-klagomål.docx", "A 39253-2025")</f>
        <v/>
      </c>
      <c r="W24">
        <f>HYPERLINK("https://klasma.github.io/Logging_2084/klagomålsmail/A 39253-2025 FSC-klagomål mail.docx", "A 39253-2025")</f>
        <v/>
      </c>
      <c r="X24">
        <f>HYPERLINK("https://klasma.github.io/Logging_2084/tillsyn/A 39253-2025 tillsynsbegäran.docx", "A 39253-2025")</f>
        <v/>
      </c>
      <c r="Y24">
        <f>HYPERLINK("https://klasma.github.io/Logging_2084/tillsynsmail/A 39253-2025 tillsynsbegäran mail.docx", "A 39253-2025")</f>
        <v/>
      </c>
    </row>
    <row r="25" ht="15" customHeight="1">
      <c r="A25" t="inlineStr">
        <is>
          <t>A 25882-2025</t>
        </is>
      </c>
      <c r="B25" s="1" t="n">
        <v>45804</v>
      </c>
      <c r="C25" s="1" t="n">
        <v>46200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HYPERLINK("https://klasma.github.io/Logging_2084/artfynd/A 25882-2025 artfynd.xlsx", "A 25882-2025")</f>
        <v/>
      </c>
      <c r="T25">
        <f>HYPERLINK("https://klasma.github.io/Logging_2084/kartor/A 25882-2025 karta.png", "A 25882-2025")</f>
        <v/>
      </c>
      <c r="V25">
        <f>HYPERLINK("https://klasma.github.io/Logging_2084/klagomål/A 25882-2025 FSC-klagomål.docx", "A 25882-2025")</f>
        <v/>
      </c>
      <c r="W25">
        <f>HYPERLINK("https://klasma.github.io/Logging_2084/klagomålsmail/A 25882-2025 FSC-klagomål mail.docx", "A 25882-2025")</f>
        <v/>
      </c>
      <c r="X25">
        <f>HYPERLINK("https://klasma.github.io/Logging_2084/tillsyn/A 25882-2025 tillsynsbegäran.docx", "A 25882-2025")</f>
        <v/>
      </c>
      <c r="Y25">
        <f>HYPERLINK("https://klasma.github.io/Logging_2084/tillsynsmail/A 25882-2025 tillsynsbegäran mail.docx", "A 25882-2025")</f>
        <v/>
      </c>
      <c r="Z25">
        <f>HYPERLINK("https://klasma.github.io/Logging_2084/fåglar/A 25882-2025 prioriterade fågelarter.docx", "A 25882-2025")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46200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1993-2026</t>
        </is>
      </c>
      <c r="B27" s="1" t="n">
        <v>46035</v>
      </c>
      <c r="C27" s="1" t="n">
        <v>46200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46200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46200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15987-2026</t>
        </is>
      </c>
      <c r="B30" s="1" t="n">
        <v>46108</v>
      </c>
      <c r="C30" s="1" t="n">
        <v>46200</v>
      </c>
      <c r="D30" t="inlineStr">
        <is>
          <t>DALARNAS LÄN</t>
        </is>
      </c>
      <c r="E30" t="inlineStr">
        <is>
          <t>AVESTA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HYPERLINK("https://klasma.github.io/Logging_2084/artfynd/A 15987-2026 artfynd.xlsx", "A 15987-2026")</f>
        <v/>
      </c>
      <c r="T30">
        <f>HYPERLINK("https://klasma.github.io/Logging_2084/kartor/A 15987-2026 karta.png", "A 15987-2026")</f>
        <v/>
      </c>
      <c r="V30">
        <f>HYPERLINK("https://klasma.github.io/Logging_2084/klagomål/A 15987-2026 FSC-klagomål.docx", "A 15987-2026")</f>
        <v/>
      </c>
      <c r="W30">
        <f>HYPERLINK("https://klasma.github.io/Logging_2084/klagomålsmail/A 15987-2026 FSC-klagomål mail.docx", "A 15987-2026")</f>
        <v/>
      </c>
      <c r="X30">
        <f>HYPERLINK("https://klasma.github.io/Logging_2084/tillsyn/A 15987-2026 tillsynsbegäran.docx", "A 15987-2026")</f>
        <v/>
      </c>
      <c r="Y30">
        <f>HYPERLINK("https://klasma.github.io/Logging_2084/tillsynsmail/A 15987-2026 tillsynsbegäran mail.docx", "A 15987-2026")</f>
        <v/>
      </c>
    </row>
    <row r="31" ht="15" customHeight="1">
      <c r="A31" t="inlineStr">
        <is>
          <t>A 26787-2026</t>
        </is>
      </c>
      <c r="B31" s="1" t="n">
        <v>46183</v>
      </c>
      <c r="C31" s="1" t="n">
        <v>46200</v>
      </c>
      <c r="D31" t="inlineStr">
        <is>
          <t>DALARNAS LÄN</t>
        </is>
      </c>
      <c r="E31" t="inlineStr">
        <is>
          <t>AVESTA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HYPERLINK("https://klasma.github.io/Logging_2084/artfynd/A 26787-2026 artfynd.xlsx", "A 26787-2026")</f>
        <v/>
      </c>
      <c r="T31">
        <f>HYPERLINK("https://klasma.github.io/Logging_2084/kartor/A 26787-2026 karta.png", "A 26787-2026")</f>
        <v/>
      </c>
      <c r="V31">
        <f>HYPERLINK("https://klasma.github.io/Logging_2084/klagomål/A 26787-2026 FSC-klagomål.docx", "A 26787-2026")</f>
        <v/>
      </c>
      <c r="W31">
        <f>HYPERLINK("https://klasma.github.io/Logging_2084/klagomålsmail/A 26787-2026 FSC-klagomål mail.docx", "A 26787-2026")</f>
        <v/>
      </c>
      <c r="X31">
        <f>HYPERLINK("https://klasma.github.io/Logging_2084/tillsyn/A 26787-2026 tillsynsbegäran.docx", "A 26787-2026")</f>
        <v/>
      </c>
      <c r="Y31">
        <f>HYPERLINK("https://klasma.github.io/Logging_2084/tillsynsmail/A 26787-2026 tillsynsbegäran mail.docx", "A 26787-2026")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46200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</v>
      </c>
      <c r="C34" s="1" t="n">
        <v>46200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</v>
      </c>
      <c r="C35" s="1" t="n">
        <v>46200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46200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46200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46200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56171-2021</t>
        </is>
      </c>
      <c r="B39" s="1" t="n">
        <v>44477</v>
      </c>
      <c r="C39" s="1" t="n">
        <v>46200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28403-2022</t>
        </is>
      </c>
      <c r="B40" s="1" t="n">
        <v>44747</v>
      </c>
      <c r="C40" s="1" t="n">
        <v>46200</v>
      </c>
      <c r="D40" t="inlineStr">
        <is>
          <t>DALARNAS LÄN</t>
        </is>
      </c>
      <c r="E40" t="inlineStr">
        <is>
          <t>AVESTA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46200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46200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1977-2022</t>
        </is>
      </c>
      <c r="B43" s="1" t="n">
        <v>44575</v>
      </c>
      <c r="C43" s="1" t="n">
        <v>46200</v>
      </c>
      <c r="D43" t="inlineStr">
        <is>
          <t>DALARNAS LÄN</t>
        </is>
      </c>
      <c r="E43" t="inlineStr">
        <is>
          <t>AVESTA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44133-2022</t>
        </is>
      </c>
      <c r="B44" s="1" t="n">
        <v>44839</v>
      </c>
      <c r="C44" s="1" t="n">
        <v>46200</v>
      </c>
      <c r="D44" t="inlineStr">
        <is>
          <t>DALARNAS LÄN</t>
        </is>
      </c>
      <c r="E44" t="inlineStr">
        <is>
          <t>AVESTA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46200</v>
      </c>
      <c r="D45" t="inlineStr">
        <is>
          <t>DALARNAS LÄN</t>
        </is>
      </c>
      <c r="E45" t="inlineStr">
        <is>
          <t>AVESTA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</v>
      </c>
      <c r="C46" s="1" t="n">
        <v>46200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46200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46200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29468-2022</t>
        </is>
      </c>
      <c r="B49" s="1" t="n">
        <v>44753</v>
      </c>
      <c r="C49" s="1" t="n">
        <v>46200</v>
      </c>
      <c r="D49" t="inlineStr">
        <is>
          <t>DALARNAS LÄN</t>
        </is>
      </c>
      <c r="E49" t="inlineStr">
        <is>
          <t>AVESTA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</v>
      </c>
      <c r="C50" s="1" t="n">
        <v>46200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46200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6262-2023</t>
        </is>
      </c>
      <c r="B52" s="1" t="n">
        <v>44963</v>
      </c>
      <c r="C52" s="1" t="n">
        <v>46200</v>
      </c>
      <c r="D52" t="inlineStr">
        <is>
          <t>DALARNAS LÄN</t>
        </is>
      </c>
      <c r="E52" t="inlineStr">
        <is>
          <t>AVESTA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9148-2023</t>
        </is>
      </c>
      <c r="B53" s="1" t="n">
        <v>44980</v>
      </c>
      <c r="C53" s="1" t="n">
        <v>46200</v>
      </c>
      <c r="D53" t="inlineStr">
        <is>
          <t>DALARNAS LÄN</t>
        </is>
      </c>
      <c r="E53" t="inlineStr">
        <is>
          <t>AVESTA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30736-2024</t>
        </is>
      </c>
      <c r="B54" s="1" t="n">
        <v>45496</v>
      </c>
      <c r="C54" s="1" t="n">
        <v>46200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30739-2024</t>
        </is>
      </c>
      <c r="B55" s="1" t="n">
        <v>45496</v>
      </c>
      <c r="C55" s="1" t="n">
        <v>46200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62130-2023</t>
        </is>
      </c>
      <c r="B56" s="1" t="n">
        <v>45267</v>
      </c>
      <c r="C56" s="1" t="n">
        <v>46200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25463-2023</t>
        </is>
      </c>
      <c r="B57" s="1" t="n">
        <v>45082</v>
      </c>
      <c r="C57" s="1" t="n">
        <v>46200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5186-2024</t>
        </is>
      </c>
      <c r="B58" s="1" t="n">
        <v>45330</v>
      </c>
      <c r="C58" s="1" t="n">
        <v>46200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</v>
      </c>
      <c r="C59" s="1" t="n">
        <v>46200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46200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53119-2022</t>
        </is>
      </c>
      <c r="B61" s="1" t="n">
        <v>44876</v>
      </c>
      <c r="C61" s="1" t="n">
        <v>46200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46672-2024</t>
        </is>
      </c>
      <c r="B62" s="1" t="n">
        <v>45583</v>
      </c>
      <c r="C62" s="1" t="n">
        <v>46200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</v>
      </c>
      <c r="C63" s="1" t="n">
        <v>46200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55549-2023</t>
        </is>
      </c>
      <c r="B64" s="1" t="n">
        <v>45232</v>
      </c>
      <c r="C64" s="1" t="n">
        <v>46200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10570-2025</t>
        </is>
      </c>
      <c r="B65" s="1" t="n">
        <v>45721</v>
      </c>
      <c r="C65" s="1" t="n">
        <v>46200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30524-2024</t>
        </is>
      </c>
      <c r="B66" s="1" t="n">
        <v>45492</v>
      </c>
      <c r="C66" s="1" t="n">
        <v>46200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62022-2023</t>
        </is>
      </c>
      <c r="B67" s="1" t="n">
        <v>45266</v>
      </c>
      <c r="C67" s="1" t="n">
        <v>46200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50900-2022</t>
        </is>
      </c>
      <c r="B68" s="1" t="n">
        <v>44865</v>
      </c>
      <c r="C68" s="1" t="n">
        <v>46200</v>
      </c>
      <c r="D68" t="inlineStr">
        <is>
          <t>DALARNAS LÄN</t>
        </is>
      </c>
      <c r="E68" t="inlineStr">
        <is>
          <t>AVESTA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13965-2023</t>
        </is>
      </c>
      <c r="B69" s="1" t="n">
        <v>45008</v>
      </c>
      <c r="C69" s="1" t="n">
        <v>46200</v>
      </c>
      <c r="D69" t="inlineStr">
        <is>
          <t>DALARNAS LÄN</t>
        </is>
      </c>
      <c r="E69" t="inlineStr">
        <is>
          <t>AVESTA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63434-2023</t>
        </is>
      </c>
      <c r="B70" s="1" t="n">
        <v>45274</v>
      </c>
      <c r="C70" s="1" t="n">
        <v>46200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61758-2024</t>
        </is>
      </c>
      <c r="B71" s="1" t="n">
        <v>45649</v>
      </c>
      <c r="C71" s="1" t="n">
        <v>46200</v>
      </c>
      <c r="D71" t="inlineStr">
        <is>
          <t>DALARNAS LÄN</t>
        </is>
      </c>
      <c r="E71" t="inlineStr">
        <is>
          <t>AVESTA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7321-2025</t>
        </is>
      </c>
      <c r="B72" s="1" t="n">
        <v>45702</v>
      </c>
      <c r="C72" s="1" t="n">
        <v>46200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44141-2022</t>
        </is>
      </c>
      <c r="B73" s="1" t="n">
        <v>44839</v>
      </c>
      <c r="C73" s="1" t="n">
        <v>46200</v>
      </c>
      <c r="D73" t="inlineStr">
        <is>
          <t>DALARNAS LÄN</t>
        </is>
      </c>
      <c r="E73" t="inlineStr">
        <is>
          <t>AVESTA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18679-2022</t>
        </is>
      </c>
      <c r="B74" s="1" t="n">
        <v>44687</v>
      </c>
      <c r="C74" s="1" t="n">
        <v>46200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50863-2021</t>
        </is>
      </c>
      <c r="B75" s="1" t="n">
        <v>44460</v>
      </c>
      <c r="C75" s="1" t="n">
        <v>46200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</v>
      </c>
      <c r="C76" s="1" t="n">
        <v>46200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46200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46200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3806-2022</t>
        </is>
      </c>
      <c r="B79" s="1" t="n">
        <v>44587</v>
      </c>
      <c r="C79" s="1" t="n">
        <v>46200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46200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46200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46253-2023</t>
        </is>
      </c>
      <c r="B82" s="1" t="n">
        <v>45196</v>
      </c>
      <c r="C82" s="1" t="n">
        <v>46200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46279-2023</t>
        </is>
      </c>
      <c r="B83" s="1" t="n">
        <v>45196</v>
      </c>
      <c r="C83" s="1" t="n">
        <v>46200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4747-2024</t>
        </is>
      </c>
      <c r="B84" s="1" t="n">
        <v>45328</v>
      </c>
      <c r="C84" s="1" t="n">
        <v>46200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46200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</v>
      </c>
      <c r="C86" s="1" t="n">
        <v>46200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22234-2024</t>
        </is>
      </c>
      <c r="B87" s="1" t="n">
        <v>45446</v>
      </c>
      <c r="C87" s="1" t="n">
        <v>46200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31430-2024</t>
        </is>
      </c>
      <c r="B88" s="1" t="n">
        <v>45505</v>
      </c>
      <c r="C88" s="1" t="n">
        <v>46200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46200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53100-2024</t>
        </is>
      </c>
      <c r="B90" s="1" t="n">
        <v>45611</v>
      </c>
      <c r="C90" s="1" t="n">
        <v>46200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28090-2022</t>
        </is>
      </c>
      <c r="B91" s="1" t="n">
        <v>44746</v>
      </c>
      <c r="C91" s="1" t="n">
        <v>46200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46670-2024</t>
        </is>
      </c>
      <c r="B92" s="1" t="n">
        <v>45583</v>
      </c>
      <c r="C92" s="1" t="n">
        <v>46200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46676-2024</t>
        </is>
      </c>
      <c r="B93" s="1" t="n">
        <v>45583</v>
      </c>
      <c r="C93" s="1" t="n">
        <v>46200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6521-2023</t>
        </is>
      </c>
      <c r="B94" s="1" t="n">
        <v>44966</v>
      </c>
      <c r="C94" s="1" t="n">
        <v>46200</v>
      </c>
      <c r="D94" t="inlineStr">
        <is>
          <t>DALARNAS LÄN</t>
        </is>
      </c>
      <c r="E94" t="inlineStr">
        <is>
          <t>AVESTA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49286-2023</t>
        </is>
      </c>
      <c r="B95" s="1" t="n">
        <v>45210</v>
      </c>
      <c r="C95" s="1" t="n">
        <v>46200</v>
      </c>
      <c r="D95" t="inlineStr">
        <is>
          <t>DALARNAS LÄN</t>
        </is>
      </c>
      <c r="E95" t="inlineStr">
        <is>
          <t>AVESTA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7493-2023</t>
        </is>
      </c>
      <c r="B96" s="1" t="n">
        <v>44971</v>
      </c>
      <c r="C96" s="1" t="n">
        <v>46200</v>
      </c>
      <c r="D96" t="inlineStr">
        <is>
          <t>DALARNAS LÄN</t>
        </is>
      </c>
      <c r="E96" t="inlineStr">
        <is>
          <t>AVESTA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43086-2023</t>
        </is>
      </c>
      <c r="B97" s="1" t="n">
        <v>45182</v>
      </c>
      <c r="C97" s="1" t="n">
        <v>46200</v>
      </c>
      <c r="D97" t="inlineStr">
        <is>
          <t>DALARNAS LÄN</t>
        </is>
      </c>
      <c r="E97" t="inlineStr">
        <is>
          <t>AVESTA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34186-2023</t>
        </is>
      </c>
      <c r="B98" s="1" t="n">
        <v>45138</v>
      </c>
      <c r="C98" s="1" t="n">
        <v>46200</v>
      </c>
      <c r="D98" t="inlineStr">
        <is>
          <t>DALARNAS LÄN</t>
        </is>
      </c>
      <c r="E98" t="inlineStr">
        <is>
          <t>AVESTA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32613-2021</t>
        </is>
      </c>
      <c r="B99" s="1" t="n">
        <v>44375</v>
      </c>
      <c r="C99" s="1" t="n">
        <v>46200</v>
      </c>
      <c r="D99" t="inlineStr">
        <is>
          <t>DALARNAS LÄN</t>
        </is>
      </c>
      <c r="E99" t="inlineStr">
        <is>
          <t>AVESTA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56464-2022</t>
        </is>
      </c>
      <c r="B100" s="1" t="n">
        <v>44893</v>
      </c>
      <c r="C100" s="1" t="n">
        <v>46200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14023-2023</t>
        </is>
      </c>
      <c r="B101" s="1" t="n">
        <v>45007</v>
      </c>
      <c r="C101" s="1" t="n">
        <v>46200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63519-2021</t>
        </is>
      </c>
      <c r="B102" s="1" t="n">
        <v>44508</v>
      </c>
      <c r="C102" s="1" t="n">
        <v>46200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47867-2022</t>
        </is>
      </c>
      <c r="B103" s="1" t="n">
        <v>44855</v>
      </c>
      <c r="C103" s="1" t="n">
        <v>46200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38441-2023</t>
        </is>
      </c>
      <c r="B104" s="1" t="n">
        <v>45162</v>
      </c>
      <c r="C104" s="1" t="n">
        <v>46200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3990-2025</t>
        </is>
      </c>
      <c r="B105" s="1" t="n">
        <v>45684</v>
      </c>
      <c r="C105" s="1" t="n">
        <v>46200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18573-2025</t>
        </is>
      </c>
      <c r="B106" s="1" t="n">
        <v>45763</v>
      </c>
      <c r="C106" s="1" t="n">
        <v>46200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3194-2024</t>
        </is>
      </c>
      <c r="B107" s="1" t="n">
        <v>45316</v>
      </c>
      <c r="C107" s="1" t="n">
        <v>46200</v>
      </c>
      <c r="D107" t="inlineStr">
        <is>
          <t>DALARNAS LÄN</t>
        </is>
      </c>
      <c r="E107" t="inlineStr">
        <is>
          <t>AVESTA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</v>
      </c>
      <c r="C108" s="1" t="n">
        <v>46200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863-2022</t>
        </is>
      </c>
      <c r="B109" s="1" t="n">
        <v>44571</v>
      </c>
      <c r="C109" s="1" t="n">
        <v>46200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34925-2024</t>
        </is>
      </c>
      <c r="B110" s="1" t="n">
        <v>45527</v>
      </c>
      <c r="C110" s="1" t="n">
        <v>46200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22629-2024</t>
        </is>
      </c>
      <c r="B111" s="1" t="n">
        <v>45447</v>
      </c>
      <c r="C111" s="1" t="n">
        <v>46200</v>
      </c>
      <c r="D111" t="inlineStr">
        <is>
          <t>DALARNAS LÄN</t>
        </is>
      </c>
      <c r="E111" t="inlineStr">
        <is>
          <t>AVESTA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</v>
      </c>
      <c r="C112" s="1" t="n">
        <v>46200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50682-2024</t>
        </is>
      </c>
      <c r="B113" s="1" t="n">
        <v>45602</v>
      </c>
      <c r="C113" s="1" t="n">
        <v>46200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18112-2022</t>
        </is>
      </c>
      <c r="B114" s="1" t="n">
        <v>44684</v>
      </c>
      <c r="C114" s="1" t="n">
        <v>46200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10957-2024</t>
        </is>
      </c>
      <c r="B115" s="1" t="n">
        <v>45370</v>
      </c>
      <c r="C115" s="1" t="n">
        <v>46200</v>
      </c>
      <c r="D115" t="inlineStr">
        <is>
          <t>DALARNAS LÄN</t>
        </is>
      </c>
      <c r="E115" t="inlineStr">
        <is>
          <t>AVESTA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8785-2022</t>
        </is>
      </c>
      <c r="B116" s="1" t="n">
        <v>44614</v>
      </c>
      <c r="C116" s="1" t="n">
        <v>46200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50001-2024</t>
        </is>
      </c>
      <c r="B117" s="1" t="n">
        <v>45598</v>
      </c>
      <c r="C117" s="1" t="n">
        <v>46200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50003-2024</t>
        </is>
      </c>
      <c r="B118" s="1" t="n">
        <v>45598</v>
      </c>
      <c r="C118" s="1" t="n">
        <v>46200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37534-2022</t>
        </is>
      </c>
      <c r="B119" s="1" t="n">
        <v>44809</v>
      </c>
      <c r="C119" s="1" t="n">
        <v>46200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19359-2025</t>
        </is>
      </c>
      <c r="B120" s="1" t="n">
        <v>45769</v>
      </c>
      <c r="C120" s="1" t="n">
        <v>46200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</v>
      </c>
      <c r="C121" s="1" t="n">
        <v>46200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13983-2023</t>
        </is>
      </c>
      <c r="B122" s="1" t="n">
        <v>45008</v>
      </c>
      <c r="C122" s="1" t="n">
        <v>46200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14027-2023</t>
        </is>
      </c>
      <c r="B123" s="1" t="n">
        <v>45007</v>
      </c>
      <c r="C123" s="1" t="n">
        <v>46200</v>
      </c>
      <c r="D123" t="inlineStr">
        <is>
          <t>DALARNAS LÄN</t>
        </is>
      </c>
      <c r="E123" t="inlineStr">
        <is>
          <t>AVESTA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31389-2024</t>
        </is>
      </c>
      <c r="B124" s="1" t="n">
        <v>45505</v>
      </c>
      <c r="C124" s="1" t="n">
        <v>46200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62565-2023</t>
        </is>
      </c>
      <c r="B125" s="1" t="n">
        <v>45269</v>
      </c>
      <c r="C125" s="1" t="n">
        <v>46200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14084-2023</t>
        </is>
      </c>
      <c r="B126" s="1" t="n">
        <v>45009</v>
      </c>
      <c r="C126" s="1" t="n">
        <v>46200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14090-2023</t>
        </is>
      </c>
      <c r="B127" s="1" t="n">
        <v>45009</v>
      </c>
      <c r="C127" s="1" t="n">
        <v>46200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7490-2023</t>
        </is>
      </c>
      <c r="B128" s="1" t="n">
        <v>44971</v>
      </c>
      <c r="C128" s="1" t="n">
        <v>46200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34190-2023</t>
        </is>
      </c>
      <c r="B129" s="1" t="n">
        <v>45138</v>
      </c>
      <c r="C129" s="1" t="n">
        <v>46200</v>
      </c>
      <c r="D129" t="inlineStr">
        <is>
          <t>DALARNAS LÄN</t>
        </is>
      </c>
      <c r="E129" t="inlineStr">
        <is>
          <t>AVESTA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16522-2025</t>
        </is>
      </c>
      <c r="B130" s="1" t="n">
        <v>45751</v>
      </c>
      <c r="C130" s="1" t="n">
        <v>46200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10566-2025</t>
        </is>
      </c>
      <c r="B131" s="1" t="n">
        <v>45721</v>
      </c>
      <c r="C131" s="1" t="n">
        <v>46200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50681-2024</t>
        </is>
      </c>
      <c r="B132" s="1" t="n">
        <v>45602</v>
      </c>
      <c r="C132" s="1" t="n">
        <v>46200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</v>
      </c>
      <c r="C133" s="1" t="n">
        <v>46200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24406-2024</t>
        </is>
      </c>
      <c r="B134" s="1" t="n">
        <v>45457</v>
      </c>
      <c r="C134" s="1" t="n">
        <v>46200</v>
      </c>
      <c r="D134" t="inlineStr">
        <is>
          <t>DALARNAS LÄN</t>
        </is>
      </c>
      <c r="E134" t="inlineStr">
        <is>
          <t>AVESTA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48623-2024</t>
        </is>
      </c>
      <c r="B135" s="1" t="n">
        <v>45593</v>
      </c>
      <c r="C135" s="1" t="n">
        <v>46200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3690-2024</t>
        </is>
      </c>
      <c r="B136" s="1" t="n">
        <v>45321</v>
      </c>
      <c r="C136" s="1" t="n">
        <v>46200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31000-2024</t>
        </is>
      </c>
      <c r="B137" s="1" t="n">
        <v>45499</v>
      </c>
      <c r="C137" s="1" t="n">
        <v>46200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18805-2023</t>
        </is>
      </c>
      <c r="B138" s="1" t="n">
        <v>45044</v>
      </c>
      <c r="C138" s="1" t="n">
        <v>46200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18197-2023</t>
        </is>
      </c>
      <c r="B139" s="1" t="n">
        <v>45040</v>
      </c>
      <c r="C139" s="1" t="n">
        <v>46200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59932-2023</t>
        </is>
      </c>
      <c r="B140" s="1" t="n">
        <v>45257</v>
      </c>
      <c r="C140" s="1" t="n">
        <v>46200</v>
      </c>
      <c r="D140" t="inlineStr">
        <is>
          <t>DALARNAS LÄN</t>
        </is>
      </c>
      <c r="E140" t="inlineStr">
        <is>
          <t>AVESTA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62566-2023</t>
        </is>
      </c>
      <c r="B141" s="1" t="n">
        <v>45269</v>
      </c>
      <c r="C141" s="1" t="n">
        <v>46200</v>
      </c>
      <c r="D141" t="inlineStr">
        <is>
          <t>DALARNAS LÄN</t>
        </is>
      </c>
      <c r="E141" t="inlineStr">
        <is>
          <t>AVESTA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28108-2022</t>
        </is>
      </c>
      <c r="B142" s="1" t="n">
        <v>44746</v>
      </c>
      <c r="C142" s="1" t="n">
        <v>46200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7617-2024</t>
        </is>
      </c>
      <c r="B143" s="1" t="n">
        <v>45348</v>
      </c>
      <c r="C143" s="1" t="n">
        <v>46200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8523-2023</t>
        </is>
      </c>
      <c r="B144" s="1" t="n">
        <v>44977</v>
      </c>
      <c r="C144" s="1" t="n">
        <v>46200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56721-2024</t>
        </is>
      </c>
      <c r="B145" s="1" t="n">
        <v>45628</v>
      </c>
      <c r="C145" s="1" t="n">
        <v>46200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14021-2023</t>
        </is>
      </c>
      <c r="B146" s="1" t="n">
        <v>45007</v>
      </c>
      <c r="C146" s="1" t="n">
        <v>46200</v>
      </c>
      <c r="D146" t="inlineStr">
        <is>
          <t>DALARNAS LÄN</t>
        </is>
      </c>
      <c r="E146" t="inlineStr">
        <is>
          <t>AVESTA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12145-2025</t>
        </is>
      </c>
      <c r="B147" s="1" t="n">
        <v>45729</v>
      </c>
      <c r="C147" s="1" t="n">
        <v>46200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26516-2022</t>
        </is>
      </c>
      <c r="B148" s="1" t="n">
        <v>44739</v>
      </c>
      <c r="C148" s="1" t="n">
        <v>46200</v>
      </c>
      <c r="D148" t="inlineStr">
        <is>
          <t>DALARNAS LÄN</t>
        </is>
      </c>
      <c r="E148" t="inlineStr">
        <is>
          <t>AVESTA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21322-2023</t>
        </is>
      </c>
      <c r="B149" s="1" t="n">
        <v>45058</v>
      </c>
      <c r="C149" s="1" t="n">
        <v>46200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46315-2023</t>
        </is>
      </c>
      <c r="B150" s="1" t="n">
        <v>45191</v>
      </c>
      <c r="C150" s="1" t="n">
        <v>46200</v>
      </c>
      <c r="D150" t="inlineStr">
        <is>
          <t>DALARNAS LÄN</t>
        </is>
      </c>
      <c r="E150" t="inlineStr">
        <is>
          <t>AVESTA</t>
        </is>
      </c>
      <c r="F150" t="inlineStr">
        <is>
          <t>Bergvik skog väst AB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36961-2024</t>
        </is>
      </c>
      <c r="B151" s="1" t="n">
        <v>45538</v>
      </c>
      <c r="C151" s="1" t="n">
        <v>46200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56536-2024</t>
        </is>
      </c>
      <c r="B152" s="1" t="n">
        <v>45625</v>
      </c>
      <c r="C152" s="1" t="n">
        <v>46200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</v>
      </c>
      <c r="C153" s="1" t="n">
        <v>46200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61507-2024</t>
        </is>
      </c>
      <c r="B154" s="1" t="n">
        <v>45646</v>
      </c>
      <c r="C154" s="1" t="n">
        <v>46200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61483-2023</t>
        </is>
      </c>
      <c r="B155" s="1" t="n">
        <v>45264</v>
      </c>
      <c r="C155" s="1" t="n">
        <v>46200</v>
      </c>
      <c r="D155" t="inlineStr">
        <is>
          <t>DALARNAS LÄN</t>
        </is>
      </c>
      <c r="E155" t="inlineStr">
        <is>
          <t>AVESTA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10078-2025</t>
        </is>
      </c>
      <c r="B156" s="1" t="n">
        <v>45719</v>
      </c>
      <c r="C156" s="1" t="n">
        <v>46200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26527-2022</t>
        </is>
      </c>
      <c r="B157" s="1" t="n">
        <v>44739</v>
      </c>
      <c r="C157" s="1" t="n">
        <v>46200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23974-2023</t>
        </is>
      </c>
      <c r="B158" s="1" t="n">
        <v>45078</v>
      </c>
      <c r="C158" s="1" t="n">
        <v>46200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53820-2023</t>
        </is>
      </c>
      <c r="B159" s="1" t="n">
        <v>45231</v>
      </c>
      <c r="C159" s="1" t="n">
        <v>46200</v>
      </c>
      <c r="D159" t="inlineStr">
        <is>
          <t>DALARNAS LÄN</t>
        </is>
      </c>
      <c r="E159" t="inlineStr">
        <is>
          <t>AVESTA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23308-2024</t>
        </is>
      </c>
      <c r="B160" s="1" t="n">
        <v>45453</v>
      </c>
      <c r="C160" s="1" t="n">
        <v>46200</v>
      </c>
      <c r="D160" t="inlineStr">
        <is>
          <t>DALARNAS LÄN</t>
        </is>
      </c>
      <c r="E160" t="inlineStr">
        <is>
          <t>AVESTA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58094-2022</t>
        </is>
      </c>
      <c r="B161" s="1" t="n">
        <v>44900</v>
      </c>
      <c r="C161" s="1" t="n">
        <v>46200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30862-2024</t>
        </is>
      </c>
      <c r="B162" s="1" t="n">
        <v>45497</v>
      </c>
      <c r="C162" s="1" t="n">
        <v>46200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32770-2023</t>
        </is>
      </c>
      <c r="B163" s="1" t="n">
        <v>45123</v>
      </c>
      <c r="C163" s="1" t="n">
        <v>46200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5689-2025</t>
        </is>
      </c>
      <c r="B164" s="1" t="n">
        <v>45694</v>
      </c>
      <c r="C164" s="1" t="n">
        <v>46200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13009-2025</t>
        </is>
      </c>
      <c r="B165" s="1" t="n">
        <v>45734</v>
      </c>
      <c r="C165" s="1" t="n">
        <v>46200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18042-2023</t>
        </is>
      </c>
      <c r="B166" s="1" t="n">
        <v>45040</v>
      </c>
      <c r="C166" s="1" t="n">
        <v>46200</v>
      </c>
      <c r="D166" t="inlineStr">
        <is>
          <t>DALARNAS LÄN</t>
        </is>
      </c>
      <c r="E166" t="inlineStr">
        <is>
          <t>AVESTA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10899-2024</t>
        </is>
      </c>
      <c r="B167" s="1" t="n">
        <v>45370</v>
      </c>
      <c r="C167" s="1" t="n">
        <v>46200</v>
      </c>
      <c r="D167" t="inlineStr">
        <is>
          <t>DALARNAS LÄN</t>
        </is>
      </c>
      <c r="E167" t="inlineStr">
        <is>
          <t>AVESTA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21412-2023</t>
        </is>
      </c>
      <c r="B168" s="1" t="n">
        <v>45058</v>
      </c>
      <c r="C168" s="1" t="n">
        <v>46200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32720-2024</t>
        </is>
      </c>
      <c r="B169" s="1" t="n">
        <v>45514</v>
      </c>
      <c r="C169" s="1" t="n">
        <v>46200</v>
      </c>
      <c r="D169" t="inlineStr">
        <is>
          <t>DALARNAS LÄN</t>
        </is>
      </c>
      <c r="E169" t="inlineStr">
        <is>
          <t>AVESTA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46674-2024</t>
        </is>
      </c>
      <c r="B170" s="1" t="n">
        <v>45583</v>
      </c>
      <c r="C170" s="1" t="n">
        <v>46200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46679-2024</t>
        </is>
      </c>
      <c r="B171" s="1" t="n">
        <v>45583</v>
      </c>
      <c r="C171" s="1" t="n">
        <v>46200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39219-2024</t>
        </is>
      </c>
      <c r="B172" s="1" t="n">
        <v>45549</v>
      </c>
      <c r="C172" s="1" t="n">
        <v>46200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46200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42291-2024</t>
        </is>
      </c>
      <c r="B174" s="1" t="n">
        <v>45562</v>
      </c>
      <c r="C174" s="1" t="n">
        <v>46200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8360-2025</t>
        </is>
      </c>
      <c r="B175" s="1" t="n">
        <v>45708</v>
      </c>
      <c r="C175" s="1" t="n">
        <v>46200</v>
      </c>
      <c r="D175" t="inlineStr">
        <is>
          <t>DALARNAS LÄN</t>
        </is>
      </c>
      <c r="E175" t="inlineStr">
        <is>
          <t>AVESTA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9786-2025</t>
        </is>
      </c>
      <c r="B176" s="1" t="n">
        <v>45715</v>
      </c>
      <c r="C176" s="1" t="n">
        <v>46200</v>
      </c>
      <c r="D176" t="inlineStr">
        <is>
          <t>DALARNAS LÄN</t>
        </is>
      </c>
      <c r="E176" t="inlineStr">
        <is>
          <t>AVESTA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10573-2025</t>
        </is>
      </c>
      <c r="B177" s="1" t="n">
        <v>45721</v>
      </c>
      <c r="C177" s="1" t="n">
        <v>46200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21534-2024</t>
        </is>
      </c>
      <c r="B178" s="1" t="n">
        <v>45441</v>
      </c>
      <c r="C178" s="1" t="n">
        <v>46200</v>
      </c>
      <c r="D178" t="inlineStr">
        <is>
          <t>DALARNAS LÄN</t>
        </is>
      </c>
      <c r="E178" t="inlineStr">
        <is>
          <t>AVESTA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46200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31116-2023</t>
        </is>
      </c>
      <c r="B180" s="1" t="n">
        <v>45103</v>
      </c>
      <c r="C180" s="1" t="n">
        <v>46200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37.2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23500-2024</t>
        </is>
      </c>
      <c r="B181" s="1" t="n">
        <v>45453</v>
      </c>
      <c r="C181" s="1" t="n">
        <v>46200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20705-2023</t>
        </is>
      </c>
      <c r="B182" s="1" t="n">
        <v>45058</v>
      </c>
      <c r="C182" s="1" t="n">
        <v>46200</v>
      </c>
      <c r="D182" t="inlineStr">
        <is>
          <t>DALARNAS LÄN</t>
        </is>
      </c>
      <c r="E182" t="inlineStr">
        <is>
          <t>AVESTA</t>
        </is>
      </c>
      <c r="G182" t="n">
        <v>17.6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36004-2025</t>
        </is>
      </c>
      <c r="B183" s="1" t="n">
        <v>45863</v>
      </c>
      <c r="C183" s="1" t="n">
        <v>46200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36005-2025</t>
        </is>
      </c>
      <c r="B184" s="1" t="n">
        <v>45863</v>
      </c>
      <c r="C184" s="1" t="n">
        <v>46200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23834-2024</t>
        </is>
      </c>
      <c r="B185" s="1" t="n">
        <v>45455</v>
      </c>
      <c r="C185" s="1" t="n">
        <v>46200</v>
      </c>
      <c r="D185" t="inlineStr">
        <is>
          <t>DALARNAS LÄN</t>
        </is>
      </c>
      <c r="E185" t="inlineStr">
        <is>
          <t>AVESTA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</v>
      </c>
      <c r="C186" s="1" t="n">
        <v>46200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22816-2023</t>
        </is>
      </c>
      <c r="B187" s="1" t="n">
        <v>45072</v>
      </c>
      <c r="C187" s="1" t="n">
        <v>46200</v>
      </c>
      <c r="D187" t="inlineStr">
        <is>
          <t>DALARNAS LÄN</t>
        </is>
      </c>
      <c r="E187" t="inlineStr">
        <is>
          <t>AVESTA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36178-2025</t>
        </is>
      </c>
      <c r="B188" s="1" t="n">
        <v>45867</v>
      </c>
      <c r="C188" s="1" t="n">
        <v>46200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59679-2024</t>
        </is>
      </c>
      <c r="B189" s="1" t="n">
        <v>45639</v>
      </c>
      <c r="C189" s="1" t="n">
        <v>46200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44471-2024</t>
        </is>
      </c>
      <c r="B190" s="1" t="n">
        <v>45574</v>
      </c>
      <c r="C190" s="1" t="n">
        <v>46200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43767-2021</t>
        </is>
      </c>
      <c r="B191" s="1" t="n">
        <v>44433</v>
      </c>
      <c r="C191" s="1" t="n">
        <v>46200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46200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37387-2025</t>
        </is>
      </c>
      <c r="B193" s="1" t="n">
        <v>45877</v>
      </c>
      <c r="C193" s="1" t="n">
        <v>46200</v>
      </c>
      <c r="D193" t="inlineStr">
        <is>
          <t>DALARNAS LÄN</t>
        </is>
      </c>
      <c r="E193" t="inlineStr">
        <is>
          <t>AVESTA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37386-2025</t>
        </is>
      </c>
      <c r="B194" s="1" t="n">
        <v>45877</v>
      </c>
      <c r="C194" s="1" t="n">
        <v>46200</v>
      </c>
      <c r="D194" t="inlineStr">
        <is>
          <t>DALARNAS LÄN</t>
        </is>
      </c>
      <c r="E194" t="inlineStr">
        <is>
          <t>AVESTA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20942-2025</t>
        </is>
      </c>
      <c r="B195" s="1" t="n">
        <v>45777</v>
      </c>
      <c r="C195" s="1" t="n">
        <v>46200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38689-2025</t>
        </is>
      </c>
      <c r="B196" s="1" t="n">
        <v>45884</v>
      </c>
      <c r="C196" s="1" t="n">
        <v>46200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37809-2025</t>
        </is>
      </c>
      <c r="B197" s="1" t="n">
        <v>45881</v>
      </c>
      <c r="C197" s="1" t="n">
        <v>46200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10779-2024</t>
        </is>
      </c>
      <c r="B198" s="1" t="n">
        <v>45369</v>
      </c>
      <c r="C198" s="1" t="n">
        <v>46200</v>
      </c>
      <c r="D198" t="inlineStr">
        <is>
          <t>DALARNAS LÄN</t>
        </is>
      </c>
      <c r="E198" t="inlineStr">
        <is>
          <t>AVESTA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15923-2024</t>
        </is>
      </c>
      <c r="B199" s="1" t="n">
        <v>45405</v>
      </c>
      <c r="C199" s="1" t="n">
        <v>46200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40049-2024</t>
        </is>
      </c>
      <c r="B200" s="1" t="n">
        <v>45553</v>
      </c>
      <c r="C200" s="1" t="n">
        <v>46200</v>
      </c>
      <c r="D200" t="inlineStr">
        <is>
          <t>DALARNAS LÄN</t>
        </is>
      </c>
      <c r="E200" t="inlineStr">
        <is>
          <t>AVESTA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48548-2025</t>
        </is>
      </c>
      <c r="B201" s="1" t="n">
        <v>45936</v>
      </c>
      <c r="C201" s="1" t="n">
        <v>46200</v>
      </c>
      <c r="D201" t="inlineStr">
        <is>
          <t>DALARNAS LÄN</t>
        </is>
      </c>
      <c r="E201" t="inlineStr">
        <is>
          <t>AVESTA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8759-2022</t>
        </is>
      </c>
      <c r="B202" s="1" t="n">
        <v>44613</v>
      </c>
      <c r="C202" s="1" t="n">
        <v>46200</v>
      </c>
      <c r="D202" t="inlineStr">
        <is>
          <t>DALARNAS LÄN</t>
        </is>
      </c>
      <c r="E202" t="inlineStr">
        <is>
          <t>AVESTA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</v>
      </c>
      <c r="C203" s="1" t="n">
        <v>46200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63316-2023</t>
        </is>
      </c>
      <c r="B204" s="1" t="n">
        <v>45273</v>
      </c>
      <c r="C204" s="1" t="n">
        <v>46200</v>
      </c>
      <c r="D204" t="inlineStr">
        <is>
          <t>DALARNAS LÄN</t>
        </is>
      </c>
      <c r="E204" t="inlineStr">
        <is>
          <t>AVESTA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49099-2025</t>
        </is>
      </c>
      <c r="B205" s="1" t="n">
        <v>45937</v>
      </c>
      <c r="C205" s="1" t="n">
        <v>46200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</v>
      </c>
      <c r="C206" s="1" t="n">
        <v>46200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</v>
      </c>
      <c r="C207" s="1" t="n">
        <v>46200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</v>
      </c>
      <c r="C208" s="1" t="n">
        <v>46200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40750-2025</t>
        </is>
      </c>
      <c r="B209" s="1" t="n">
        <v>45897</v>
      </c>
      <c r="C209" s="1" t="n">
        <v>46200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40710-2025</t>
        </is>
      </c>
      <c r="B210" s="1" t="n">
        <v>45897</v>
      </c>
      <c r="C210" s="1" t="n">
        <v>46200</v>
      </c>
      <c r="D210" t="inlineStr">
        <is>
          <t>DALARNAS LÄN</t>
        </is>
      </c>
      <c r="E210" t="inlineStr">
        <is>
          <t>AVESTA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40755-2025</t>
        </is>
      </c>
      <c r="B211" s="1" t="n">
        <v>45897</v>
      </c>
      <c r="C211" s="1" t="n">
        <v>46200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40761-2025</t>
        </is>
      </c>
      <c r="B212" s="1" t="n">
        <v>45897</v>
      </c>
      <c r="C212" s="1" t="n">
        <v>46200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40711-2025</t>
        </is>
      </c>
      <c r="B213" s="1" t="n">
        <v>45897</v>
      </c>
      <c r="C213" s="1" t="n">
        <v>46200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23439-2025</t>
        </is>
      </c>
      <c r="B214" s="1" t="n">
        <v>45792</v>
      </c>
      <c r="C214" s="1" t="n">
        <v>46200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51253-2025</t>
        </is>
      </c>
      <c r="B215" s="1" t="n">
        <v>45948</v>
      </c>
      <c r="C215" s="1" t="n">
        <v>46200</v>
      </c>
      <c r="D215" t="inlineStr">
        <is>
          <t>DALARNAS LÄN</t>
        </is>
      </c>
      <c r="E215" t="inlineStr">
        <is>
          <t>AVESTA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</v>
      </c>
      <c r="C216" s="1" t="n">
        <v>46200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</v>
      </c>
      <c r="C217" s="1" t="n">
        <v>46200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44474-2022</t>
        </is>
      </c>
      <c r="B218" s="1" t="n">
        <v>44840</v>
      </c>
      <c r="C218" s="1" t="n">
        <v>46200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42072-2025</t>
        </is>
      </c>
      <c r="B219" s="1" t="n">
        <v>45903</v>
      </c>
      <c r="C219" s="1" t="n">
        <v>46200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</v>
      </c>
      <c r="C220" s="1" t="n">
        <v>46200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</v>
      </c>
      <c r="C221" s="1" t="n">
        <v>46200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62040-2023</t>
        </is>
      </c>
      <c r="B222" s="1" t="n">
        <v>45266</v>
      </c>
      <c r="C222" s="1" t="n">
        <v>46200</v>
      </c>
      <c r="D222" t="inlineStr">
        <is>
          <t>DALARNAS LÄN</t>
        </is>
      </c>
      <c r="E222" t="inlineStr">
        <is>
          <t>AVESTA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44848-2023</t>
        </is>
      </c>
      <c r="B223" s="1" t="n">
        <v>45190</v>
      </c>
      <c r="C223" s="1" t="n">
        <v>46200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</v>
      </c>
      <c r="C224" s="1" t="n">
        <v>46200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27344-2024</t>
        </is>
      </c>
      <c r="B225" s="1" t="n">
        <v>45473</v>
      </c>
      <c r="C225" s="1" t="n">
        <v>46200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31921-2024</t>
        </is>
      </c>
      <c r="B226" s="1" t="n">
        <v>45510</v>
      </c>
      <c r="C226" s="1" t="n">
        <v>46200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43172-2025</t>
        </is>
      </c>
      <c r="B227" s="1" t="n">
        <v>45910</v>
      </c>
      <c r="C227" s="1" t="n">
        <v>46200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23200-2025</t>
        </is>
      </c>
      <c r="B228" s="1" t="n">
        <v>45791</v>
      </c>
      <c r="C228" s="1" t="n">
        <v>46200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43361-2025</t>
        </is>
      </c>
      <c r="B229" s="1" t="n">
        <v>45911</v>
      </c>
      <c r="C229" s="1" t="n">
        <v>46200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8524-2023</t>
        </is>
      </c>
      <c r="B230" s="1" t="n">
        <v>44972</v>
      </c>
      <c r="C230" s="1" t="n">
        <v>46200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3195-2024</t>
        </is>
      </c>
      <c r="B231" s="1" t="n">
        <v>45316</v>
      </c>
      <c r="C231" s="1" t="n">
        <v>46200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46200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10784-2024</t>
        </is>
      </c>
      <c r="B233" s="1" t="n">
        <v>45369</v>
      </c>
      <c r="C233" s="1" t="n">
        <v>46200</v>
      </c>
      <c r="D233" t="inlineStr">
        <is>
          <t>DALARNAS LÄN</t>
        </is>
      </c>
      <c r="E233" t="inlineStr">
        <is>
          <t>AVESTA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46200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46200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25115-2025</t>
        </is>
      </c>
      <c r="B236" s="1" t="n">
        <v>45800</v>
      </c>
      <c r="C236" s="1" t="n">
        <v>46200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</v>
      </c>
      <c r="C237" s="1" t="n">
        <v>46200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45180-2025</t>
        </is>
      </c>
      <c r="B238" s="1" t="n">
        <v>45919</v>
      </c>
      <c r="C238" s="1" t="n">
        <v>46200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24147-2025</t>
        </is>
      </c>
      <c r="B239" s="1" t="n">
        <v>45796</v>
      </c>
      <c r="C239" s="1" t="n">
        <v>46200</v>
      </c>
      <c r="D239" t="inlineStr">
        <is>
          <t>DALARNAS LÄN</t>
        </is>
      </c>
      <c r="E239" t="inlineStr">
        <is>
          <t>AVESTA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15925-2024</t>
        </is>
      </c>
      <c r="B240" s="1" t="n">
        <v>45405</v>
      </c>
      <c r="C240" s="1" t="n">
        <v>46200</v>
      </c>
      <c r="D240" t="inlineStr">
        <is>
          <t>DALARNAS LÄN</t>
        </is>
      </c>
      <c r="E240" t="inlineStr">
        <is>
          <t>AVESTA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45503-2025</t>
        </is>
      </c>
      <c r="B241" s="1" t="n">
        <v>45922</v>
      </c>
      <c r="C241" s="1" t="n">
        <v>46200</v>
      </c>
      <c r="D241" t="inlineStr">
        <is>
          <t>DALARNAS LÄN</t>
        </is>
      </c>
      <c r="E241" t="inlineStr">
        <is>
          <t>AVESTA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55384-2023</t>
        </is>
      </c>
      <c r="B242" s="1" t="n">
        <v>45238</v>
      </c>
      <c r="C242" s="1" t="n">
        <v>46200</v>
      </c>
      <c r="D242" t="inlineStr">
        <is>
          <t>DALARNAS LÄN</t>
        </is>
      </c>
      <c r="E242" t="inlineStr">
        <is>
          <t>AVESTA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7320-2025</t>
        </is>
      </c>
      <c r="B243" s="1" t="n">
        <v>45702</v>
      </c>
      <c r="C243" s="1" t="n">
        <v>46200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13940-2023</t>
        </is>
      </c>
      <c r="B244" s="1" t="n">
        <v>45008</v>
      </c>
      <c r="C244" s="1" t="n">
        <v>46200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</v>
      </c>
      <c r="C245" s="1" t="n">
        <v>46200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47026-2025</t>
        </is>
      </c>
      <c r="B246" s="1" t="n">
        <v>45929</v>
      </c>
      <c r="C246" s="1" t="n">
        <v>46200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</v>
      </c>
      <c r="C247" s="1" t="n">
        <v>46200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24195-2025</t>
        </is>
      </c>
      <c r="B248" s="1" t="n">
        <v>45796</v>
      </c>
      <c r="C248" s="1" t="n">
        <v>46200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24197-2025</t>
        </is>
      </c>
      <c r="B249" s="1" t="n">
        <v>45796</v>
      </c>
      <c r="C249" s="1" t="n">
        <v>46200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24199-2025</t>
        </is>
      </c>
      <c r="B250" s="1" t="n">
        <v>45796</v>
      </c>
      <c r="C250" s="1" t="n">
        <v>46200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62093-2024</t>
        </is>
      </c>
      <c r="B251" s="1" t="n">
        <v>45656</v>
      </c>
      <c r="C251" s="1" t="n">
        <v>46200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31387-2024</t>
        </is>
      </c>
      <c r="B252" s="1" t="n">
        <v>45505</v>
      </c>
      <c r="C252" s="1" t="n">
        <v>46200</v>
      </c>
      <c r="D252" t="inlineStr">
        <is>
          <t>DALARNAS LÄN</t>
        </is>
      </c>
      <c r="E252" t="inlineStr">
        <is>
          <t>AVESTA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24834-2025</t>
        </is>
      </c>
      <c r="B253" s="1" t="n">
        <v>45799</v>
      </c>
      <c r="C253" s="1" t="n">
        <v>46200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24838-2025</t>
        </is>
      </c>
      <c r="B254" s="1" t="n">
        <v>45799</v>
      </c>
      <c r="C254" s="1" t="n">
        <v>46200</v>
      </c>
      <c r="D254" t="inlineStr">
        <is>
          <t>DALARNAS LÄN</t>
        </is>
      </c>
      <c r="E254" t="inlineStr">
        <is>
          <t>AVESTA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24867-2025</t>
        </is>
      </c>
      <c r="B255" s="1" t="n">
        <v>45799</v>
      </c>
      <c r="C255" s="1" t="n">
        <v>46200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</v>
      </c>
      <c r="C256" s="1" t="n">
        <v>46200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24845-2025</t>
        </is>
      </c>
      <c r="B257" s="1" t="n">
        <v>45799</v>
      </c>
      <c r="C257" s="1" t="n">
        <v>46200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25646-2025</t>
        </is>
      </c>
      <c r="B258" s="1" t="n">
        <v>45803</v>
      </c>
      <c r="C258" s="1" t="n">
        <v>46200</v>
      </c>
      <c r="D258" t="inlineStr">
        <is>
          <t>DALARNAS LÄN</t>
        </is>
      </c>
      <c r="E258" t="inlineStr">
        <is>
          <t>AVESTA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25658-2025</t>
        </is>
      </c>
      <c r="B259" s="1" t="n">
        <v>45803</v>
      </c>
      <c r="C259" s="1" t="n">
        <v>46200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61657-2023</t>
        </is>
      </c>
      <c r="B260" s="1" t="n">
        <v>45265</v>
      </c>
      <c r="C260" s="1" t="n">
        <v>46200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60182-2025</t>
        </is>
      </c>
      <c r="B261" s="1" t="n">
        <v>45994</v>
      </c>
      <c r="C261" s="1" t="n">
        <v>46200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47408-2025</t>
        </is>
      </c>
      <c r="B262" s="1" t="n">
        <v>45930</v>
      </c>
      <c r="C262" s="1" t="n">
        <v>46200</v>
      </c>
      <c r="D262" t="inlineStr">
        <is>
          <t>DALARNAS LÄN</t>
        </is>
      </c>
      <c r="E262" t="inlineStr">
        <is>
          <t>AVESTA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61013-2025</t>
        </is>
      </c>
      <c r="B263" s="1" t="n">
        <v>45999</v>
      </c>
      <c r="C263" s="1" t="n">
        <v>46200</v>
      </c>
      <c r="D263" t="inlineStr">
        <is>
          <t>DALARNAS LÄN</t>
        </is>
      </c>
      <c r="E263" t="inlineStr">
        <is>
          <t>AVESTA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61119-2025</t>
        </is>
      </c>
      <c r="B264" s="1" t="n">
        <v>46000</v>
      </c>
      <c r="C264" s="1" t="n">
        <v>46200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64102-2025</t>
        </is>
      </c>
      <c r="B265" s="1" t="n">
        <v>46021</v>
      </c>
      <c r="C265" s="1" t="n">
        <v>46200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54913-2025</t>
        </is>
      </c>
      <c r="B266" s="1" t="n">
        <v>45967</v>
      </c>
      <c r="C266" s="1" t="n">
        <v>46200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</v>
      </c>
      <c r="C267" s="1" t="n">
        <v>46200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3412-2026</t>
        </is>
      </c>
      <c r="B268" s="1" t="n">
        <v>46042</v>
      </c>
      <c r="C268" s="1" t="n">
        <v>46200</v>
      </c>
      <c r="D268" t="inlineStr">
        <is>
          <t>DALARNAS LÄN</t>
        </is>
      </c>
      <c r="E268" t="inlineStr">
        <is>
          <t>AVESTA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4901-2026</t>
        </is>
      </c>
      <c r="B269" s="1" t="n">
        <v>46045</v>
      </c>
      <c r="C269" s="1" t="n">
        <v>46200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46200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46200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5041-2026</t>
        </is>
      </c>
      <c r="B272" s="1" t="n">
        <v>46049</v>
      </c>
      <c r="C272" s="1" t="n">
        <v>46200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6329-2026</t>
        </is>
      </c>
      <c r="B273" s="1" t="n">
        <v>46055</v>
      </c>
      <c r="C273" s="1" t="n">
        <v>46200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46200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7626-2026</t>
        </is>
      </c>
      <c r="B275" s="1" t="n">
        <v>46062</v>
      </c>
      <c r="C275" s="1" t="n">
        <v>46200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9427-2026</t>
        </is>
      </c>
      <c r="B276" s="1" t="n">
        <v>46071</v>
      </c>
      <c r="C276" s="1" t="n">
        <v>46200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11825-2026</t>
        </is>
      </c>
      <c r="B277" s="1" t="n">
        <v>46085</v>
      </c>
      <c r="C277" s="1" t="n">
        <v>46200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63460-2025</t>
        </is>
      </c>
      <c r="B278" s="1" t="n">
        <v>46013</v>
      </c>
      <c r="C278" s="1" t="n">
        <v>46200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16333-2026</t>
        </is>
      </c>
      <c r="B279" s="1" t="n">
        <v>46111</v>
      </c>
      <c r="C279" s="1" t="n">
        <v>46200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16821-2026</t>
        </is>
      </c>
      <c r="B280" s="1" t="n">
        <v>46113</v>
      </c>
      <c r="C280" s="1" t="n">
        <v>46200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16824-2026</t>
        </is>
      </c>
      <c r="B281" s="1" t="n">
        <v>46113</v>
      </c>
      <c r="C281" s="1" t="n">
        <v>46200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16820-2026</t>
        </is>
      </c>
      <c r="B282" s="1" t="n">
        <v>46113</v>
      </c>
      <c r="C282" s="1" t="n">
        <v>46200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16822-2026</t>
        </is>
      </c>
      <c r="B283" s="1" t="n">
        <v>46113</v>
      </c>
      <c r="C283" s="1" t="n">
        <v>46200</v>
      </c>
      <c r="D283" t="inlineStr">
        <is>
          <t>DALARNAS LÄN</t>
        </is>
      </c>
      <c r="E283" t="inlineStr">
        <is>
          <t>AVESTA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16827-2026</t>
        </is>
      </c>
      <c r="B284" s="1" t="n">
        <v>46113</v>
      </c>
      <c r="C284" s="1" t="n">
        <v>46200</v>
      </c>
      <c r="D284" t="inlineStr">
        <is>
          <t>DALARNAS LÄN</t>
        </is>
      </c>
      <c r="E284" t="inlineStr">
        <is>
          <t>AVESTA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16825-2026</t>
        </is>
      </c>
      <c r="B285" s="1" t="n">
        <v>46113</v>
      </c>
      <c r="C285" s="1" t="n">
        <v>46200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24113-2026</t>
        </is>
      </c>
      <c r="B286" s="1" t="n">
        <v>46168</v>
      </c>
      <c r="C286" s="1" t="n">
        <v>46200</v>
      </c>
      <c r="D286" t="inlineStr">
        <is>
          <t>DALARNAS LÄN</t>
        </is>
      </c>
      <c r="E286" t="inlineStr">
        <is>
          <t>AVESTA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18652-2026</t>
        </is>
      </c>
      <c r="B287" s="1" t="n">
        <v>46128</v>
      </c>
      <c r="C287" s="1" t="n">
        <v>46200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18655-2026</t>
        </is>
      </c>
      <c r="B288" s="1" t="n">
        <v>46128</v>
      </c>
      <c r="C288" s="1" t="n">
        <v>46200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24389-2026</t>
        </is>
      </c>
      <c r="B289" s="1" t="n">
        <v>46169</v>
      </c>
      <c r="C289" s="1" t="n">
        <v>46200</v>
      </c>
      <c r="D289" t="inlineStr">
        <is>
          <t>DALARNAS LÄN</t>
        </is>
      </c>
      <c r="E289" t="inlineStr">
        <is>
          <t>AVESTA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24392-2026</t>
        </is>
      </c>
      <c r="B290" s="1" t="n">
        <v>46169</v>
      </c>
      <c r="C290" s="1" t="n">
        <v>46200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24395-2026</t>
        </is>
      </c>
      <c r="B291" s="1" t="n">
        <v>46169</v>
      </c>
      <c r="C291" s="1" t="n">
        <v>46200</v>
      </c>
      <c r="D291" t="inlineStr">
        <is>
          <t>DALARNAS LÄN</t>
        </is>
      </c>
      <c r="E291" t="inlineStr">
        <is>
          <t>AVESTA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18679-2026</t>
        </is>
      </c>
      <c r="B292" s="1" t="n">
        <v>46128</v>
      </c>
      <c r="C292" s="1" t="n">
        <v>46200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18662-2026</t>
        </is>
      </c>
      <c r="B293" s="1" t="n">
        <v>46128</v>
      </c>
      <c r="C293" s="1" t="n">
        <v>46200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25195-2026</t>
        </is>
      </c>
      <c r="B294" s="1" t="n">
        <v>46175</v>
      </c>
      <c r="C294" s="1" t="n">
        <v>46200</v>
      </c>
      <c r="D294" t="inlineStr">
        <is>
          <t>DALARNAS LÄN</t>
        </is>
      </c>
      <c r="E294" t="inlineStr">
        <is>
          <t>AVESTA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19957-2026</t>
        </is>
      </c>
      <c r="B295" s="1" t="n">
        <v>46135</v>
      </c>
      <c r="C295" s="1" t="n">
        <v>46200</v>
      </c>
      <c r="D295" t="inlineStr">
        <is>
          <t>DALARNAS LÄN</t>
        </is>
      </c>
      <c r="E295" t="inlineStr">
        <is>
          <t>AVESTA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19320-2026</t>
        </is>
      </c>
      <c r="B296" s="1" t="n">
        <v>46133</v>
      </c>
      <c r="C296" s="1" t="n">
        <v>46200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36132-2025</t>
        </is>
      </c>
      <c r="B297" s="1" t="n">
        <v>45866</v>
      </c>
      <c r="C297" s="1" t="n">
        <v>46200</v>
      </c>
      <c r="D297" t="inlineStr">
        <is>
          <t>DALARNAS LÄN</t>
        </is>
      </c>
      <c r="E297" t="inlineStr">
        <is>
          <t>AVESTA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44066-2025</t>
        </is>
      </c>
      <c r="B298" s="1" t="n">
        <v>45915</v>
      </c>
      <c r="C298" s="1" t="n">
        <v>46200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</v>
      </c>
      <c r="C299" s="1" t="n">
        <v>46200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43283-2025</t>
        </is>
      </c>
      <c r="B300" s="1" t="n">
        <v>45910</v>
      </c>
      <c r="C300" s="1" t="n">
        <v>46200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25927-2026</t>
        </is>
      </c>
      <c r="B301" s="1" t="n">
        <v>46178</v>
      </c>
      <c r="C301" s="1" t="n">
        <v>46200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23146-2025</t>
        </is>
      </c>
      <c r="B302" s="1" t="n">
        <v>45791</v>
      </c>
      <c r="C302" s="1" t="n">
        <v>46200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26337-2026</t>
        </is>
      </c>
      <c r="B303" s="1" t="n">
        <v>46182</v>
      </c>
      <c r="C303" s="1" t="n">
        <v>46200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20745-2026</t>
        </is>
      </c>
      <c r="B304" s="1" t="n">
        <v>46141</v>
      </c>
      <c r="C304" s="1" t="n">
        <v>46200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26391-2026</t>
        </is>
      </c>
      <c r="B305" s="1" t="n">
        <v>46183</v>
      </c>
      <c r="C305" s="1" t="n">
        <v>46200</v>
      </c>
      <c r="D305" t="inlineStr">
        <is>
          <t>DALARNAS LÄN</t>
        </is>
      </c>
      <c r="E305" t="inlineStr">
        <is>
          <t>AVESTA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26816-2026</t>
        </is>
      </c>
      <c r="B306" s="1" t="n">
        <v>46185</v>
      </c>
      <c r="C306" s="1" t="n">
        <v>46200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26769-2026</t>
        </is>
      </c>
      <c r="B307" s="1" t="n">
        <v>46184</v>
      </c>
      <c r="C307" s="1" t="n">
        <v>46200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21028-2026</t>
        </is>
      </c>
      <c r="B308" s="1" t="n">
        <v>46146</v>
      </c>
      <c r="C308" s="1" t="n">
        <v>46200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21027-2026</t>
        </is>
      </c>
      <c r="B309" s="1" t="n">
        <v>46146</v>
      </c>
      <c r="C309" s="1" t="n">
        <v>46200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28227-2026</t>
        </is>
      </c>
      <c r="B310" s="1" t="n">
        <v>46196</v>
      </c>
      <c r="C310" s="1" t="n">
        <v>46200</v>
      </c>
      <c r="D310" t="inlineStr">
        <is>
          <t>DALARNAS LÄN</t>
        </is>
      </c>
      <c r="E310" t="inlineStr">
        <is>
          <t>AVESTA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19674-2026</t>
        </is>
      </c>
      <c r="B311" s="1" t="n">
        <v>46134</v>
      </c>
      <c r="C311" s="1" t="n">
        <v>46200</v>
      </c>
      <c r="D311" t="inlineStr">
        <is>
          <t>DALARNAS LÄN</t>
        </is>
      </c>
      <c r="E311" t="inlineStr">
        <is>
          <t>AVESTA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22579-2026</t>
        </is>
      </c>
      <c r="B312" s="1" t="n">
        <v>46155</v>
      </c>
      <c r="C312" s="1" t="n">
        <v>46200</v>
      </c>
      <c r="D312" t="inlineStr">
        <is>
          <t>DALARNAS LÄN</t>
        </is>
      </c>
      <c r="E312" t="inlineStr">
        <is>
          <t>AVESTA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25665-2025</t>
        </is>
      </c>
      <c r="B313" s="1" t="n">
        <v>45803</v>
      </c>
      <c r="C313" s="1" t="n">
        <v>46200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23568-2025</t>
        </is>
      </c>
      <c r="B314" s="1" t="n">
        <v>45792</v>
      </c>
      <c r="C314" s="1" t="n">
        <v>46200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22571-2026</t>
        </is>
      </c>
      <c r="B315" s="1" t="n">
        <v>46155</v>
      </c>
      <c r="C315" s="1" t="n">
        <v>46200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22586-2026</t>
        </is>
      </c>
      <c r="B316" s="1" t="n">
        <v>46155</v>
      </c>
      <c r="C316" s="1" t="n">
        <v>46200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17979-2026</t>
        </is>
      </c>
      <c r="B317" s="1" t="n">
        <v>46124</v>
      </c>
      <c r="C317" s="1" t="n">
        <v>46200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6337-2026</t>
        </is>
      </c>
      <c r="B318" s="1" t="n">
        <v>46055</v>
      </c>
      <c r="C318" s="1" t="n">
        <v>46200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28620-2026</t>
        </is>
      </c>
      <c r="B319" s="1" t="n">
        <v>46198</v>
      </c>
      <c r="C319" s="1" t="n">
        <v>46200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2026-06-27T00:56:15Z</dcterms:created>
  <dcterms:modified xmlns:dcterms="http://purl.org/dc/terms/" xmlns:xsi="http://www.w3.org/2001/XMLSchema-instance" xsi:type="dcterms:W3CDTF">2026-06-27T00:56:15Z</dcterms:modified>
</cp:coreProperties>
</file>