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46249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46249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46249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46249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59462-2023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45254</v>
      </c>
      <c r="E6" s="1" t="n">
        <v>46249</v>
      </c>
      <c r="F6" t="inlineStr">
        <is>
          <t>DALARNAS LÄN</t>
        </is>
      </c>
      <c r="G6" t="inlineStr">
        <is>
          <t>AVESTA</t>
        </is>
      </c>
      <c r="I6" t="n">
        <v>7.7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Ullticka
Plattlummer
Mattlummer
Fläcknycklar</t>
        </is>
      </c>
      <c r="W6">
        <f>HYPERLINK("https://klasma.github.io/Logging_2084/artfynd/A 59462-2023 artfynd.xlsx", "A 59462-2023")</f>
        <v/>
      </c>
      <c r="X6">
        <f>HYPERLINK("https://klasma.github.io/Logging_2084/kartor/A 59462-2023 karta.png", "A 59462-2023")</f>
        <v/>
      </c>
      <c r="Y6">
        <f>HYPERLINK("https://klasma.github.io/Logging_2084/kartor_geotiff/A 59462-2023 georefererad karta.tif", "A 59462-2023")</f>
        <v/>
      </c>
      <c r="AA6">
        <f>HYPERLINK("https://klasma.github.io/Logging_2084/klagomål/A 59462-2023 FSC-klagomål.docx", "A 59462-2023")</f>
        <v/>
      </c>
      <c r="AB6">
        <f>HYPERLINK("https://klasma.github.io/Logging_2084/klagomålsmail/A 59462-2023 FSC-klagomål mail.docx", "A 59462-2023")</f>
        <v/>
      </c>
      <c r="AC6">
        <f>HYPERLINK("https://klasma.github.io/Logging_2084/tillsyn/A 59462-2023 tillsynsbegäran.docx", "A 59462-2023")</f>
        <v/>
      </c>
      <c r="AD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46249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46249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46249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46249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46249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46249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46249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46249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46249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46249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46249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46249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44853-2023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45190</v>
      </c>
      <c r="E19" s="1" t="n">
        <v>46249</v>
      </c>
      <c r="F19" t="inlineStr">
        <is>
          <t>DALARNAS LÄN</t>
        </is>
      </c>
      <c r="G19" t="inlineStr">
        <is>
          <t>AVESTA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Knytlingsäckmal</t>
        </is>
      </c>
      <c r="W19">
        <f>HYPERLINK("https://klasma.github.io/Logging_2084/artfynd/A 44853-2023 artfynd.xlsx", "A 44853-2023")</f>
        <v/>
      </c>
      <c r="X19">
        <f>HYPERLINK("https://klasma.github.io/Logging_2084/kartor/A 44853-2023 karta.png", "A 44853-2023")</f>
        <v/>
      </c>
      <c r="Y19">
        <f>HYPERLINK("https://klasma.github.io/Logging_2084/kartor_geotiff/A 44853-2023 georefererad karta.tif", "A 44853-2023")</f>
        <v/>
      </c>
      <c r="AA19">
        <f>HYPERLINK("https://klasma.github.io/Logging_2084/klagomål/A 44853-2023 FSC-klagomål.docx", "A 44853-2023")</f>
        <v/>
      </c>
      <c r="AB19">
        <f>HYPERLINK("https://klasma.github.io/Logging_2084/klagomålsmail/A 44853-2023 FSC-klagomål mail.docx", "A 44853-2023")</f>
        <v/>
      </c>
      <c r="AC19">
        <f>HYPERLINK("https://klasma.github.io/Logging_2084/tillsyn/A 44853-2023 tillsynsbegäran.docx", "A 44853-2023")</f>
        <v/>
      </c>
      <c r="AD19">
        <f>HYPERLINK("https://klasma.github.io/Logging_2084/tillsynsmail/A 44853-2023 tillsynsbegäran mail.docx", "A 44853-2023")</f>
        <v/>
      </c>
    </row>
    <row r="20" ht="15" customHeight="1">
      <c r="A20" t="inlineStr">
        <is>
          <t>A 56571-2023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46249</v>
      </c>
      <c r="F20" t="inlineStr">
        <is>
          <t>DALARNAS LÄN</t>
        </is>
      </c>
      <c r="G20" t="inlineStr">
        <is>
          <t>AVESTA</t>
        </is>
      </c>
      <c r="I20" t="n">
        <v>6.1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Gråblå skinnlav</t>
        </is>
      </c>
      <c r="W20">
        <f>HYPERLINK("https://klasma.github.io/Logging_2084/artfynd/A 56571-2023 artfynd.xlsx", "A 56571-2023")</f>
        <v/>
      </c>
      <c r="X20">
        <f>HYPERLINK("https://klasma.github.io/Logging_2084/kartor/A 56571-2023 karta.png", "A 56571-2023")</f>
        <v/>
      </c>
      <c r="Y20">
        <f>HYPERLINK("https://klasma.github.io/Logging_2084/kartor_geotiff/A 56571-2023 georefererad karta.tif", "A 56571-2023")</f>
        <v/>
      </c>
      <c r="AA20">
        <f>HYPERLINK("https://klasma.github.io/Logging_2084/klagomål/A 56571-2023 FSC-klagomål.docx", "A 56571-2023")</f>
        <v/>
      </c>
      <c r="AB20">
        <f>HYPERLINK("https://klasma.github.io/Logging_2084/klagomålsmail/A 56571-2023 FSC-klagomål mail.docx", "A 56571-2023")</f>
        <v/>
      </c>
      <c r="AC20">
        <f>HYPERLINK("https://klasma.github.io/Logging_2084/tillsyn/A 56571-2023 tillsynsbegäran.docx", "A 56571-2023")</f>
        <v/>
      </c>
      <c r="AD20">
        <f>HYPERLINK("https://klasma.github.io/Logging_2084/tillsynsmail/A 56571-2023 tillsynsbegäran mail.docx", "A 56571-2023")</f>
        <v/>
      </c>
    </row>
    <row r="21" ht="15" customHeight="1">
      <c r="A21" t="inlineStr">
        <is>
          <t>A 1695-2022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44574</v>
      </c>
      <c r="E21" s="1" t="n">
        <v>46249</v>
      </c>
      <c r="F21" t="inlineStr">
        <is>
          <t>DALARNAS LÄN</t>
        </is>
      </c>
      <c r="G21" t="inlineStr">
        <is>
          <t>AVESTA</t>
        </is>
      </c>
      <c r="I21" t="n">
        <v>6.5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27</v>
      </c>
      <c r="U21" t="n">
        <v>27</v>
      </c>
      <c r="V21" s="2" t="inlineStr">
        <is>
          <t>Knärot</t>
        </is>
      </c>
      <c r="W21">
        <f>HYPERLINK("https://klasma.github.io/Logging_2084/artfynd/A 1695-2022 artfynd.xlsx", "A 1695-2022")</f>
        <v/>
      </c>
      <c r="X21">
        <f>HYPERLINK("https://klasma.github.io/Logging_2084/kartor/A 1695-2022 karta.png", "A 1695-2022")</f>
        <v/>
      </c>
      <c r="Y21">
        <f>HYPERLINK("https://klasma.github.io/Logging_2084/kartor_geotiff/A 1695-2022 georefererad karta.tif", "A 1695-2022")</f>
        <v/>
      </c>
      <c r="Z21">
        <f>HYPERLINK("https://klasma.github.io/Logging_2084/knärot/A 1695-2022 karta knärot.png", "A 1695-2022")</f>
        <v/>
      </c>
      <c r="AA21">
        <f>HYPERLINK("https://klasma.github.io/Logging_2084/klagomål/A 1695-2022 FSC-klagomål.docx", "A 1695-2022")</f>
        <v/>
      </c>
      <c r="AB21">
        <f>HYPERLINK("https://klasma.github.io/Logging_2084/klagomålsmail/A 1695-2022 FSC-klagomål mail.docx", "A 1695-2022")</f>
        <v/>
      </c>
      <c r="AC21">
        <f>HYPERLINK("https://klasma.github.io/Logging_2084/tillsyn/A 1695-2022 tillsynsbegäran.docx", "A 1695-2022")</f>
        <v/>
      </c>
      <c r="AD21">
        <f>HYPERLINK("https://klasma.github.io/Logging_2084/tillsynsmail/A 1695-2022 tillsynsbegäran mail.docx", "A 1695-2022")</f>
        <v/>
      </c>
    </row>
    <row r="22" ht="15" customHeight="1">
      <c r="A22" t="inlineStr">
        <is>
          <t>A 15987-2026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46249</v>
      </c>
      <c r="F22" t="inlineStr">
        <is>
          <t>DALARNAS LÄN</t>
        </is>
      </c>
      <c r="G22" t="inlineStr">
        <is>
          <t>AVESTA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HYPERLINK("https://klasma.github.io/Logging_2084/artfynd/A 15987-2026 artfynd.xlsx", "A 15987-2026")</f>
        <v/>
      </c>
      <c r="X22">
        <f>HYPERLINK("https://klasma.github.io/Logging_2084/kartor/A 15987-2026 karta.png", "A 15987-2026")</f>
        <v/>
      </c>
      <c r="Y22">
        <f>HYPERLINK("https://klasma.github.io/Logging_2084/kartor_geotiff/A 15987-2026 georefererad karta.tif", "A 15987-2026")</f>
        <v/>
      </c>
      <c r="AA22">
        <f>HYPERLINK("https://klasma.github.io/Logging_2084/klagomål/A 15987-2026 FSC-klagomål.docx", "A 15987-2026")</f>
        <v/>
      </c>
      <c r="AB22">
        <f>HYPERLINK("https://klasma.github.io/Logging_2084/klagomålsmail/A 15987-2026 FSC-klagomål mail.docx", "A 15987-2026")</f>
        <v/>
      </c>
      <c r="AC22">
        <f>HYPERLINK("https://klasma.github.io/Logging_2084/tillsyn/A 15987-2026 tillsynsbegäran.docx", "A 15987-2026")</f>
        <v/>
      </c>
      <c r="AD22">
        <f>HYPERLINK("https://klasma.github.io/Logging_2084/tillsynsmail/A 15987-2026 tillsynsbegäran mail.docx", "A 15987-2026")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46249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1993-2026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46035</v>
      </c>
      <c r="E24" s="1" t="n">
        <v>46249</v>
      </c>
      <c r="F24" t="inlineStr">
        <is>
          <t>DALARNAS LÄN</t>
        </is>
      </c>
      <c r="G24" t="inlineStr">
        <is>
          <t>AVESTA</t>
        </is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HYPERLINK("https://klasma.github.io/Logging_2084/artfynd/A 1993-2026 artfynd.xlsx", "A 1993-2026")</f>
        <v/>
      </c>
      <c r="X24">
        <f>HYPERLINK("https://klasma.github.io/Logging_2084/kartor/A 1993-2026 karta.png", "A 1993-2026")</f>
        <v/>
      </c>
      <c r="Y24">
        <f>HYPERLINK("https://klasma.github.io/Logging_2084/kartor_geotiff/A 1993-2026 georefererad karta.tif", "A 1993-2026")</f>
        <v/>
      </c>
      <c r="AA24">
        <f>HYPERLINK("https://klasma.github.io/Logging_2084/klagomål/A 1993-2026 FSC-klagomål.docx", "A 1993-2026")</f>
        <v/>
      </c>
      <c r="AB24">
        <f>HYPERLINK("https://klasma.github.io/Logging_2084/klagomålsmail/A 1993-2026 FSC-klagomål mail.docx", "A 1993-2026")</f>
        <v/>
      </c>
      <c r="AC24">
        <f>HYPERLINK("https://klasma.github.io/Logging_2084/tillsyn/A 1993-2026 tillsynsbegäran.docx", "A 1993-2026")</f>
        <v/>
      </c>
      <c r="AD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46249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46249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46249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25882-2025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45804</v>
      </c>
      <c r="E28" s="1" t="n">
        <v>46249</v>
      </c>
      <c r="F28" t="inlineStr">
        <is>
          <t>DALARNAS LÄN</t>
        </is>
      </c>
      <c r="G28" t="inlineStr">
        <is>
          <t>AVESTA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Fiskgjuse</t>
        </is>
      </c>
      <c r="W28">
        <f>HYPERLINK("https://klasma.github.io/Logging_2084/artfynd/A 25882-2025 artfynd.xlsx", "A 25882-2025")</f>
        <v/>
      </c>
      <c r="X28">
        <f>HYPERLINK("https://klasma.github.io/Logging_2084/kartor/A 25882-2025 karta.png", "A 25882-2025")</f>
        <v/>
      </c>
      <c r="Y28">
        <f>HYPERLINK("https://klasma.github.io/Logging_2084/kartor_geotiff/A 25882-2025 georefererad karta.tif", "A 25882-2025")</f>
        <v/>
      </c>
      <c r="AA28">
        <f>HYPERLINK("https://klasma.github.io/Logging_2084/klagomål/A 25882-2025 FSC-klagomål.docx", "A 25882-2025")</f>
        <v/>
      </c>
      <c r="AB28">
        <f>HYPERLINK("https://klasma.github.io/Logging_2084/klagomålsmail/A 25882-2025 FSC-klagomål mail.docx", "A 25882-2025")</f>
        <v/>
      </c>
      <c r="AC28">
        <f>HYPERLINK("https://klasma.github.io/Logging_2084/tillsyn/A 25882-2025 tillsynsbegäran.docx", "A 25882-2025")</f>
        <v/>
      </c>
      <c r="AD28">
        <f>HYPERLINK("https://klasma.github.io/Logging_2084/tillsynsmail/A 25882-2025 tillsynsbegäran mail.docx", "A 25882-2025")</f>
        <v/>
      </c>
      <c r="AE28">
        <f>HYPERLINK("https://klasma.github.io/Logging_2084/fåglar/A 25882-2025 prioriterade fågelarter.docx", "A 25882-2025")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46249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32516-2026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46249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8.4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Nordfladdermus</t>
        </is>
      </c>
      <c r="W30">
        <f>HYPERLINK("https://klasma.github.io/Logging_2084/artfynd/A 32516-2026 artfynd.xlsx", "A 32516-2026")</f>
        <v/>
      </c>
      <c r="X30">
        <f>HYPERLINK("https://klasma.github.io/Logging_2084/kartor/A 32516-2026 karta.png", "A 32516-2026")</f>
        <v/>
      </c>
      <c r="Y30">
        <f>HYPERLINK("https://klasma.github.io/Logging_2084/kartor_geotiff/A 32516-2026 georefererad karta.tif", "A 32516-2026")</f>
        <v/>
      </c>
      <c r="AA30">
        <f>HYPERLINK("https://klasma.github.io/Logging_2084/klagomål/A 32516-2026 FSC-klagomål.docx", "A 32516-2026")</f>
        <v/>
      </c>
      <c r="AB30">
        <f>HYPERLINK("https://klasma.github.io/Logging_2084/klagomålsmail/A 32516-2026 FSC-klagomål mail.docx", "A 32516-2026")</f>
        <v/>
      </c>
      <c r="AC30">
        <f>HYPERLINK("https://klasma.github.io/Logging_2084/tillsyn/A 32516-2026 tillsynsbegäran.docx", "A 32516-2026")</f>
        <v/>
      </c>
      <c r="AD30">
        <f>HYPERLINK("https://klasma.github.io/Logging_2084/tillsynsmail/A 32516-2026 tillsynsbegäran mail.docx", "A 32516-2026")</f>
        <v/>
      </c>
    </row>
    <row r="31" ht="15" customHeight="1">
      <c r="A31" t="inlineStr">
        <is>
          <t>A 17913-2025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45758</v>
      </c>
      <c r="E31" s="1" t="n">
        <v>46249</v>
      </c>
      <c r="F31" t="inlineStr">
        <is>
          <t>DALARNAS LÄN</t>
        </is>
      </c>
      <c r="G31" t="inlineStr">
        <is>
          <t>AVESTA</t>
        </is>
      </c>
      <c r="I31" t="n">
        <v>10.2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7</v>
      </c>
      <c r="U31" t="n">
        <v>7</v>
      </c>
      <c r="V31" s="2" t="inlineStr">
        <is>
          <t>Knärot</t>
        </is>
      </c>
      <c r="W31">
        <f>HYPERLINK("https://klasma.github.io/Logging_2084/artfynd/A 17913-2025 artfynd.xlsx", "A 17913-2025")</f>
        <v/>
      </c>
      <c r="X31">
        <f>HYPERLINK("https://klasma.github.io/Logging_2084/kartor/A 17913-2025 karta.png", "A 17913-2025")</f>
        <v/>
      </c>
      <c r="Y31">
        <f>HYPERLINK("https://klasma.github.io/Logging_2084/kartor_geotiff/A 17913-2025 georefererad karta.tif", "A 17913-2025")</f>
        <v/>
      </c>
      <c r="Z31">
        <f>HYPERLINK("https://klasma.github.io/Logging_2084/knärot/A 17913-2025 karta knärot.png", "A 17913-2025")</f>
        <v/>
      </c>
      <c r="AA31">
        <f>HYPERLINK("https://klasma.github.io/Logging_2084/klagomål/A 17913-2025 FSC-klagomål.docx", "A 17913-2025")</f>
        <v/>
      </c>
      <c r="AB31">
        <f>HYPERLINK("https://klasma.github.io/Logging_2084/klagomålsmail/A 17913-2025 FSC-klagomål mail.docx", "A 17913-2025")</f>
        <v/>
      </c>
      <c r="AC31">
        <f>HYPERLINK("https://klasma.github.io/Logging_2084/tillsyn/A 17913-2025 tillsynsbegäran.docx", "A 17913-2025")</f>
        <v/>
      </c>
      <c r="AD31">
        <f>HYPERLINK("https://klasma.github.io/Logging_2084/tillsynsmail/A 17913-2025 tillsynsbegäran mail.docx", "A 17913-2025")</f>
        <v/>
      </c>
    </row>
    <row r="32" ht="15" customHeight="1">
      <c r="A32" t="inlineStr">
        <is>
          <t>A 36007-2025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46249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HYPERLINK("https://klasma.github.io/Logging_2084/artfynd/A 36007-2025 artfynd.xlsx", "A 36007-2025")</f>
        <v/>
      </c>
      <c r="X32">
        <f>HYPERLINK("https://klasma.github.io/Logging_2084/kartor/A 36007-2025 karta.png", "A 36007-2025")</f>
        <v/>
      </c>
      <c r="Y32">
        <f>HYPERLINK("https://klasma.github.io/Logging_2084/kartor_geotiff/A 36007-2025 georefererad karta.tif", "A 36007-2025")</f>
        <v/>
      </c>
      <c r="AA32">
        <f>HYPERLINK("https://klasma.github.io/Logging_2084/klagomål/A 36007-2025 FSC-klagomål.docx", "A 36007-2025")</f>
        <v/>
      </c>
      <c r="AB32">
        <f>HYPERLINK("https://klasma.github.io/Logging_2084/klagomålsmail/A 36007-2025 FSC-klagomål mail.docx", "A 36007-2025")</f>
        <v/>
      </c>
      <c r="AC32">
        <f>HYPERLINK("https://klasma.github.io/Logging_2084/tillsyn/A 36007-2025 tillsynsbegäran.docx", "A 36007-2025")</f>
        <v/>
      </c>
      <c r="AD32">
        <f>HYPERLINK("https://klasma.github.io/Logging_2084/tillsynsmail/A 36007-2025 tillsynsbegäran mail.docx", "A 36007-2025")</f>
        <v/>
      </c>
    </row>
    <row r="33" ht="15" customHeight="1">
      <c r="A33" t="inlineStr">
        <is>
          <t>A 36002-2025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46249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HYPERLINK("https://klasma.github.io/Logging_2084/artfynd/A 36002-2025 artfynd.xlsx", "A 36002-2025")</f>
        <v/>
      </c>
      <c r="X33">
        <f>HYPERLINK("https://klasma.github.io/Logging_2084/kartor/A 36002-2025 karta.png", "A 36002-2025")</f>
        <v/>
      </c>
      <c r="Y33">
        <f>HYPERLINK("https://klasma.github.io/Logging_2084/kartor_geotiff/A 36002-2025 georefererad karta.tif", "A 36002-2025")</f>
        <v/>
      </c>
      <c r="AA33">
        <f>HYPERLINK("https://klasma.github.io/Logging_2084/klagomål/A 36002-2025 FSC-klagomål.docx", "A 36002-2025")</f>
        <v/>
      </c>
      <c r="AB33">
        <f>HYPERLINK("https://klasma.github.io/Logging_2084/klagomålsmail/A 36002-2025 FSC-klagomål mail.docx", "A 36002-2025")</f>
        <v/>
      </c>
      <c r="AC33">
        <f>HYPERLINK("https://klasma.github.io/Logging_2084/tillsyn/A 36002-2025 tillsynsbegäran.docx", "A 36002-2025")</f>
        <v/>
      </c>
      <c r="AD33">
        <f>HYPERLINK("https://klasma.github.io/Logging_2084/tillsynsmail/A 36002-2025 tillsynsbegäran mail.docx", "A 36002-2025")</f>
        <v/>
      </c>
    </row>
    <row r="34" ht="15" customHeight="1">
      <c r="A34" t="inlineStr">
        <is>
          <t>A 32927-2026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46249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32927-2026 artfynd.xlsx", "A 32927-2026")</f>
        <v/>
      </c>
      <c r="X34">
        <f>HYPERLINK("https://klasma.github.io/Logging_2084/kartor/A 32927-2026 karta.png", "A 32927-2026")</f>
        <v/>
      </c>
      <c r="Y34">
        <f>HYPERLINK("https://klasma.github.io/Logging_2084/kartor_geotiff/A 32927-2026 georefererad karta.tif", "A 32927-2026")</f>
        <v/>
      </c>
      <c r="AA34">
        <f>HYPERLINK("https://klasma.github.io/Logging_2084/klagomål/A 32927-2026 FSC-klagomål.docx", "A 32927-2026")</f>
        <v/>
      </c>
      <c r="AB34">
        <f>HYPERLINK("https://klasma.github.io/Logging_2084/klagomålsmail/A 32927-2026 FSC-klagomål mail.docx", "A 32927-2026")</f>
        <v/>
      </c>
      <c r="AC34">
        <f>HYPERLINK("https://klasma.github.io/Logging_2084/tillsyn/A 32927-2026 tillsynsbegäran.docx", "A 32927-2026")</f>
        <v/>
      </c>
      <c r="AD34">
        <f>HYPERLINK("https://klasma.github.io/Logging_2084/tillsynsmail/A 32927-2026 tillsynsbegäran mail.docx", "A 32927-2026")</f>
        <v/>
      </c>
    </row>
    <row r="35" ht="15" customHeight="1">
      <c r="A35" t="inlineStr">
        <is>
          <t>A 26787-2026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46183</v>
      </c>
      <c r="E35" s="1" t="n">
        <v>46249</v>
      </c>
      <c r="F35" t="inlineStr">
        <is>
          <t>DALARNAS LÄN</t>
        </is>
      </c>
      <c r="G35" t="inlineStr">
        <is>
          <t>AVESTA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HYPERLINK("https://klasma.github.io/Logging_2084/artfynd/A 26787-2026 artfynd.xlsx", "A 26787-2026")</f>
        <v/>
      </c>
      <c r="X35">
        <f>HYPERLINK("https://klasma.github.io/Logging_2084/kartor/A 26787-2026 karta.png", "A 26787-2026")</f>
        <v/>
      </c>
      <c r="Y35">
        <f>HYPERLINK("https://klasma.github.io/Logging_2084/kartor_geotiff/A 26787-2026 georefererad karta.tif", "A 26787-2026")</f>
        <v/>
      </c>
      <c r="AA35">
        <f>HYPERLINK("https://klasma.github.io/Logging_2084/klagomål/A 26787-2026 FSC-klagomål.docx", "A 26787-2026")</f>
        <v/>
      </c>
      <c r="AB35">
        <f>HYPERLINK("https://klasma.github.io/Logging_2084/klagomålsmail/A 26787-2026 FSC-klagomål mail.docx", "A 26787-2026")</f>
        <v/>
      </c>
      <c r="AC35">
        <f>HYPERLINK("https://klasma.github.io/Logging_2084/tillsyn/A 26787-2026 tillsynsbegäran.docx", "A 26787-2026")</f>
        <v/>
      </c>
      <c r="AD35">
        <f>HYPERLINK("https://klasma.github.io/Logging_2084/tillsynsmail/A 26787-2026 tillsynsbegäran mail.docx", "A 26787-2026")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46249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46249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46249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46175-2021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46249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52818-2021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46249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46249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46249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46249</v>
      </c>
      <c r="F43" t="inlineStr">
        <is>
          <t>DALARNAS LÄN</t>
        </is>
      </c>
      <c r="G43" t="inlineStr">
        <is>
          <t>AVESTA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46249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42326-2021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44427</v>
      </c>
      <c r="E45" s="1" t="n">
        <v>46249</v>
      </c>
      <c r="F45" t="inlineStr">
        <is>
          <t>DALARNAS LÄN</t>
        </is>
      </c>
      <c r="G45" t="inlineStr">
        <is>
          <t>AVESTA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46249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44477</v>
      </c>
      <c r="E47" s="1" t="n">
        <v>46249</v>
      </c>
      <c r="F47" t="inlineStr">
        <is>
          <t>DALARNAS LÄN</t>
        </is>
      </c>
      <c r="G47" t="inlineStr">
        <is>
          <t>AVESTA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45606-2021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46249</v>
      </c>
      <c r="F48" t="inlineStr">
        <is>
          <t>DALARNAS LÄN</t>
        </is>
      </c>
      <c r="G48" t="inlineStr">
        <is>
          <t>AVESTA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65738-2021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46249</v>
      </c>
      <c r="F49" t="inlineStr">
        <is>
          <t>DALARNAS LÄN</t>
        </is>
      </c>
      <c r="G49" t="inlineStr">
        <is>
          <t>AVESTA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46249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44839</v>
      </c>
      <c r="E51" s="1" t="n">
        <v>46249</v>
      </c>
      <c r="F51" t="inlineStr">
        <is>
          <t>DALARNAS LÄN</t>
        </is>
      </c>
      <c r="G51" t="inlineStr">
        <is>
          <t>AVESTA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44575</v>
      </c>
      <c r="E52" s="1" t="n">
        <v>46249</v>
      </c>
      <c r="F52" t="inlineStr">
        <is>
          <t>DALARNAS LÄN</t>
        </is>
      </c>
      <c r="G52" t="inlineStr">
        <is>
          <t>AVESTA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46249</v>
      </c>
      <c r="F53" t="inlineStr">
        <is>
          <t>DALARNAS LÄN</t>
        </is>
      </c>
      <c r="G53" t="inlineStr">
        <is>
          <t>AVESTA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46249</v>
      </c>
      <c r="F54" t="inlineStr">
        <is>
          <t>DALARNAS LÄN</t>
        </is>
      </c>
      <c r="G54" t="inlineStr">
        <is>
          <t>AVESTA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46249</v>
      </c>
      <c r="F55" t="inlineStr">
        <is>
          <t>DALARNAS LÄN</t>
        </is>
      </c>
      <c r="G55" t="inlineStr">
        <is>
          <t>AVESTA</t>
        </is>
      </c>
      <c r="I55" t="n">
        <v>14.8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49392-2021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46249</v>
      </c>
      <c r="F56" t="inlineStr">
        <is>
          <t>DALARNAS LÄN</t>
        </is>
      </c>
      <c r="G56" t="inlineStr">
        <is>
          <t>AVESTA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46249</v>
      </c>
      <c r="F57" t="inlineStr">
        <is>
          <t>DALARNAS LÄN</t>
        </is>
      </c>
      <c r="G57" t="inlineStr">
        <is>
          <t>AVESTA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46249</v>
      </c>
      <c r="F58" t="inlineStr">
        <is>
          <t>DALARNAS LÄN</t>
        </is>
      </c>
      <c r="G58" t="inlineStr">
        <is>
          <t>AVESTA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45369</v>
      </c>
      <c r="E59" s="1" t="n">
        <v>46249</v>
      </c>
      <c r="F59" t="inlineStr">
        <is>
          <t>DALARNAS LÄN</t>
        </is>
      </c>
      <c r="G59" t="inlineStr">
        <is>
          <t>AVESTA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46249</v>
      </c>
      <c r="F60" t="inlineStr">
        <is>
          <t>DALARNAS LÄN</t>
        </is>
      </c>
      <c r="G60" t="inlineStr">
        <is>
          <t>AVESTA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45162</v>
      </c>
      <c r="E61" s="1" t="n">
        <v>46249</v>
      </c>
      <c r="F61" t="inlineStr">
        <is>
          <t>DALARNAS LÄN</t>
        </is>
      </c>
      <c r="G61" t="inlineStr">
        <is>
          <t>AVESTA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45441</v>
      </c>
      <c r="E62" s="1" t="n">
        <v>46249</v>
      </c>
      <c r="F62" t="inlineStr">
        <is>
          <t>DALARNAS LÄN</t>
        </is>
      </c>
      <c r="G62" t="inlineStr">
        <is>
          <t>AVESTA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42735-2021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44428</v>
      </c>
      <c r="E63" s="1" t="n">
        <v>46249</v>
      </c>
      <c r="F63" t="inlineStr">
        <is>
          <t>DALARNAS LÄN</t>
        </is>
      </c>
      <c r="G63" t="inlineStr">
        <is>
          <t>AVESTA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46249</v>
      </c>
      <c r="F64" t="inlineStr">
        <is>
          <t>DALARNAS LÄN</t>
        </is>
      </c>
      <c r="G64" t="inlineStr">
        <is>
          <t>AVESTA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45191</v>
      </c>
      <c r="E65" s="1" t="n">
        <v>46249</v>
      </c>
      <c r="F65" t="inlineStr">
        <is>
          <t>DALARNAS LÄN</t>
        </is>
      </c>
      <c r="G65" t="inlineStr">
        <is>
          <t>AVESTA</t>
        </is>
      </c>
      <c r="H65" t="inlineStr">
        <is>
          <t>Bergvik skog väst AB</t>
        </is>
      </c>
      <c r="I65" t="n">
        <v>12.2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46249</v>
      </c>
      <c r="F66" t="inlineStr">
        <is>
          <t>DALARNAS LÄN</t>
        </is>
      </c>
      <c r="G66" t="inlineStr">
        <is>
          <t>AVESTA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45473</v>
      </c>
      <c r="E67" s="1" t="n">
        <v>46249</v>
      </c>
      <c r="F67" t="inlineStr">
        <is>
          <t>DALARNAS LÄN</t>
        </is>
      </c>
      <c r="G67" t="inlineStr">
        <is>
          <t>AVESTA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45549</v>
      </c>
      <c r="E68" s="1" t="n">
        <v>46249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45453</v>
      </c>
      <c r="E69" s="1" t="n">
        <v>46249</v>
      </c>
      <c r="F69" t="inlineStr">
        <is>
          <t>DALARNAS LÄN</t>
        </is>
      </c>
      <c r="G69" t="inlineStr">
        <is>
          <t>AVESTA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46249</v>
      </c>
      <c r="F70" t="inlineStr">
        <is>
          <t>DALARNAS LÄN</t>
        </is>
      </c>
      <c r="G70" t="inlineStr">
        <is>
          <t>AVESTA</t>
        </is>
      </c>
      <c r="H70" t="inlineStr">
        <is>
          <t>Bergvik skog väst AB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10899-2024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46249</v>
      </c>
      <c r="F71" t="inlineStr">
        <is>
          <t>DALARNAS LÄN</t>
        </is>
      </c>
      <c r="G71" t="inlineStr">
        <is>
          <t>AVESTA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46249</v>
      </c>
      <c r="F72" t="inlineStr">
        <is>
          <t>DALARNAS LÄN</t>
        </is>
      </c>
      <c r="G72" t="inlineStr">
        <is>
          <t>AVESTA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46249</v>
      </c>
      <c r="F73" t="inlineStr">
        <is>
          <t>DALARNAS LÄN</t>
        </is>
      </c>
      <c r="G73" t="inlineStr">
        <is>
          <t>AVESTA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43767-2021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44433</v>
      </c>
      <c r="E74" s="1" t="n">
        <v>46249</v>
      </c>
      <c r="F74" t="inlineStr">
        <is>
          <t>DALARNAS LÄN</t>
        </is>
      </c>
      <c r="G74" t="inlineStr">
        <is>
          <t>AVESTA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45881</v>
      </c>
      <c r="E75" s="1" t="n">
        <v>46249</v>
      </c>
      <c r="F75" t="inlineStr">
        <is>
          <t>DALARNAS LÄN</t>
        </is>
      </c>
      <c r="G75" t="inlineStr">
        <is>
          <t>AVESTA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46249</v>
      </c>
      <c r="F76" t="inlineStr">
        <is>
          <t>DALARNAS LÄN</t>
        </is>
      </c>
      <c r="G76" t="inlineStr">
        <is>
          <t>AVESTA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46249</v>
      </c>
      <c r="F77" t="inlineStr">
        <is>
          <t>DALARNAS LÄN</t>
        </is>
      </c>
      <c r="G77" t="inlineStr">
        <is>
          <t>AVESTA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46249</v>
      </c>
      <c r="F78" t="inlineStr">
        <is>
          <t>DALARNAS LÄN</t>
        </is>
      </c>
      <c r="G78" t="inlineStr">
        <is>
          <t>AVESTA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46249</v>
      </c>
      <c r="F79" t="inlineStr">
        <is>
          <t>DALARNAS LÄN</t>
        </is>
      </c>
      <c r="G79" t="inlineStr">
        <is>
          <t>AVESTA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46249</v>
      </c>
      <c r="F80" t="inlineStr">
        <is>
          <t>DALARNAS LÄN</t>
        </is>
      </c>
      <c r="G80" t="inlineStr">
        <is>
          <t>AVESTA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46249</v>
      </c>
      <c r="F81" t="inlineStr">
        <is>
          <t>DALARNAS LÄN</t>
        </is>
      </c>
      <c r="G81" t="inlineStr">
        <is>
          <t>AVESTA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44474-2022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46249</v>
      </c>
      <c r="F82" t="inlineStr">
        <is>
          <t>DALARNAS LÄN</t>
        </is>
      </c>
      <c r="G82" t="inlineStr">
        <is>
          <t>AVESTA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45328</v>
      </c>
      <c r="E83" s="1" t="n">
        <v>46249</v>
      </c>
      <c r="F83" t="inlineStr">
        <is>
          <t>DALARNAS LÄN</t>
        </is>
      </c>
      <c r="G83" t="inlineStr">
        <is>
          <t>AVESTA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45007</v>
      </c>
      <c r="E84" s="1" t="n">
        <v>46249</v>
      </c>
      <c r="F84" t="inlineStr">
        <is>
          <t>DALARNAS LÄN</t>
        </is>
      </c>
      <c r="G84" t="inlineStr">
        <is>
          <t>AVESTA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45019</v>
      </c>
      <c r="E85" s="1" t="n">
        <v>46249</v>
      </c>
      <c r="F85" t="inlineStr">
        <is>
          <t>DALARNAS LÄN</t>
        </is>
      </c>
      <c r="G85" t="inlineStr">
        <is>
          <t>AVESTA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46249</v>
      </c>
      <c r="F86" t="inlineStr">
        <is>
          <t>DALARNAS LÄN</t>
        </is>
      </c>
      <c r="G86" t="inlineStr">
        <is>
          <t>AVESTA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45497</v>
      </c>
      <c r="E87" s="1" t="n">
        <v>46249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46249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45496</v>
      </c>
      <c r="E89" s="1" t="n">
        <v>46249</v>
      </c>
      <c r="F89" t="inlineStr">
        <is>
          <t>DALARNAS LÄN</t>
        </is>
      </c>
      <c r="G89" t="inlineStr">
        <is>
          <t>AVESTA</t>
        </is>
      </c>
      <c r="H89" t="inlineStr">
        <is>
          <t>Sveaskog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46249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46249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46249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46249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46249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46249</v>
      </c>
      <c r="F95" t="inlineStr">
        <is>
          <t>DALARNAS LÄN</t>
        </is>
      </c>
      <c r="G95" t="inlineStr">
        <is>
          <t>AVESTA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45910</v>
      </c>
      <c r="E96" s="1" t="n">
        <v>46249</v>
      </c>
      <c r="F96" t="inlineStr">
        <is>
          <t>DALARNAS LÄN</t>
        </is>
      </c>
      <c r="G96" t="inlineStr">
        <is>
          <t>AVESTA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45911</v>
      </c>
      <c r="E97" s="1" t="n">
        <v>46249</v>
      </c>
      <c r="F97" t="inlineStr">
        <is>
          <t>DALARNAS LÄN</t>
        </is>
      </c>
      <c r="G97" t="inlineStr">
        <is>
          <t>AVESTA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25960-2022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46249</v>
      </c>
      <c r="F98" t="inlineStr">
        <is>
          <t>DALARNAS LÄN</t>
        </is>
      </c>
      <c r="G98" t="inlineStr">
        <is>
          <t>AVESTA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46249</v>
      </c>
      <c r="F99" t="inlineStr">
        <is>
          <t>DALARNAS LÄN</t>
        </is>
      </c>
      <c r="G99" t="inlineStr">
        <is>
          <t>AVESTA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46249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46249</v>
      </c>
      <c r="F101" t="inlineStr">
        <is>
          <t>DALARNAS LÄN</t>
        </is>
      </c>
      <c r="G101" t="inlineStr">
        <is>
          <t>AVESTA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47026-2025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46249</v>
      </c>
      <c r="F102" t="inlineStr">
        <is>
          <t>DALARNAS LÄN</t>
        </is>
      </c>
      <c r="G102" t="inlineStr">
        <is>
          <t>AVESTA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46249</v>
      </c>
      <c r="F103" t="inlineStr">
        <is>
          <t>DALARNAS LÄN</t>
        </is>
      </c>
      <c r="G103" t="inlineStr">
        <is>
          <t>AVESTA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46249</v>
      </c>
      <c r="F104" t="inlineStr">
        <is>
          <t>DALARNAS LÄN</t>
        </is>
      </c>
      <c r="G104" t="inlineStr">
        <is>
          <t>AVESTA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46249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46249</v>
      </c>
      <c r="F106" t="inlineStr">
        <is>
          <t>DALARNAS LÄN</t>
        </is>
      </c>
      <c r="G106" t="inlineStr">
        <is>
          <t>AVESTA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46249</v>
      </c>
      <c r="F107" t="inlineStr">
        <is>
          <t>DALARNAS LÄN</t>
        </is>
      </c>
      <c r="G107" t="inlineStr">
        <is>
          <t>AVESTA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45943</v>
      </c>
      <c r="E108" s="1" t="n">
        <v>46249</v>
      </c>
      <c r="F108" t="inlineStr">
        <is>
          <t>DALARNAS LÄN</t>
        </is>
      </c>
      <c r="G108" t="inlineStr">
        <is>
          <t>AVESTA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45269</v>
      </c>
      <c r="E109" s="1" t="n">
        <v>46249</v>
      </c>
      <c r="F109" t="inlineStr">
        <is>
          <t>DALARNAS LÄN</t>
        </is>
      </c>
      <c r="G109" t="inlineStr">
        <is>
          <t>AVESTA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46249</v>
      </c>
      <c r="F110" t="inlineStr">
        <is>
          <t>DALARNAS LÄN</t>
        </is>
      </c>
      <c r="G110" t="inlineStr">
        <is>
          <t>AVESTA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52767-2022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44875</v>
      </c>
      <c r="E111" s="1" t="n">
        <v>46249</v>
      </c>
      <c r="F111" t="inlineStr">
        <is>
          <t>DALARNAS LÄN</t>
        </is>
      </c>
      <c r="G111" t="inlineStr">
        <is>
          <t>AVESTA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46249</v>
      </c>
      <c r="F112" t="inlineStr">
        <is>
          <t>DALARNAS LÄN</t>
        </is>
      </c>
      <c r="G112" t="inlineStr">
        <is>
          <t>AVESTA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45496</v>
      </c>
      <c r="E113" s="1" t="n">
        <v>46249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45496</v>
      </c>
      <c r="E114" s="1" t="n">
        <v>46249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46249</v>
      </c>
      <c r="F115" t="inlineStr">
        <is>
          <t>DALARNAS LÄN</t>
        </is>
      </c>
      <c r="G115" t="inlineStr">
        <is>
          <t>AVESTA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45944</v>
      </c>
      <c r="E116" s="1" t="n">
        <v>46249</v>
      </c>
      <c r="F116" t="inlineStr">
        <is>
          <t>DALARNAS LÄN</t>
        </is>
      </c>
      <c r="G116" t="inlineStr">
        <is>
          <t>AVESTA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45948</v>
      </c>
      <c r="E117" s="1" t="n">
        <v>46249</v>
      </c>
      <c r="F117" t="inlineStr">
        <is>
          <t>DALARNAS LÄN</t>
        </is>
      </c>
      <c r="G117" t="inlineStr">
        <is>
          <t>AVESTA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45948</v>
      </c>
      <c r="E118" s="1" t="n">
        <v>46249</v>
      </c>
      <c r="F118" t="inlineStr">
        <is>
          <t>DALARNAS LÄN</t>
        </is>
      </c>
      <c r="G118" t="inlineStr">
        <is>
          <t>AVESTA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46249</v>
      </c>
      <c r="F119" t="inlineStr">
        <is>
          <t>DALARNAS LÄN</t>
        </is>
      </c>
      <c r="G119" t="inlineStr">
        <is>
          <t>AVESTA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61483-2023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45264</v>
      </c>
      <c r="E120" s="1" t="n">
        <v>46249</v>
      </c>
      <c r="F120" t="inlineStr">
        <is>
          <t>DALARNAS LÄN</t>
        </is>
      </c>
      <c r="G120" t="inlineStr">
        <is>
          <t>AVESTA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10957-2024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45370</v>
      </c>
      <c r="E121" s="1" t="n">
        <v>46249</v>
      </c>
      <c r="F121" t="inlineStr">
        <is>
          <t>DALARNAS LÄN</t>
        </is>
      </c>
      <c r="G121" t="inlineStr">
        <is>
          <t>AVESTA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46249</v>
      </c>
      <c r="F122" t="inlineStr">
        <is>
          <t>DALARNAS LÄN</t>
        </is>
      </c>
      <c r="G122" t="inlineStr">
        <is>
          <t>AVESTA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44972</v>
      </c>
      <c r="E123" s="1" t="n">
        <v>46249</v>
      </c>
      <c r="F123" t="inlineStr">
        <is>
          <t>DALARNAS LÄN</t>
        </is>
      </c>
      <c r="G123" t="inlineStr">
        <is>
          <t>AVESTA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52470-2025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46249</v>
      </c>
      <c r="F124" t="inlineStr">
        <is>
          <t>DALARNAS LÄN</t>
        </is>
      </c>
      <c r="G124" t="inlineStr">
        <is>
          <t>AVESTA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46249</v>
      </c>
      <c r="F125" t="inlineStr">
        <is>
          <t>DALARNAS LÄN</t>
        </is>
      </c>
      <c r="G125" t="inlineStr">
        <is>
          <t>AVESTA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46249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46249</v>
      </c>
      <c r="F127" t="inlineStr">
        <is>
          <t>DALARNAS LÄN</t>
        </is>
      </c>
      <c r="G127" t="inlineStr">
        <is>
          <t>AVESTA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46249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46249</v>
      </c>
      <c r="F129" t="inlineStr">
        <is>
          <t>DALARNAS LÄN</t>
        </is>
      </c>
      <c r="G129" t="inlineStr">
        <is>
          <t>AVESTA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45721</v>
      </c>
      <c r="E130" s="1" t="n">
        <v>46249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46249</v>
      </c>
      <c r="F131" t="inlineStr">
        <is>
          <t>DALARNAS LÄN</t>
        </is>
      </c>
      <c r="G131" t="inlineStr">
        <is>
          <t>AVESTA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46249</v>
      </c>
      <c r="F132" t="inlineStr">
        <is>
          <t>DALARNAS LÄN</t>
        </is>
      </c>
      <c r="G132" t="inlineStr">
        <is>
          <t>AVESTA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46249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46249</v>
      </c>
      <c r="F134" t="inlineStr">
        <is>
          <t>DALARNAS LÄN</t>
        </is>
      </c>
      <c r="G134" t="inlineStr">
        <is>
          <t>AVESTA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46249</v>
      </c>
      <c r="F135" t="inlineStr">
        <is>
          <t>DALARNAS LÄN</t>
        </is>
      </c>
      <c r="G135" t="inlineStr">
        <is>
          <t>AVESTA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46249</v>
      </c>
      <c r="F136" t="inlineStr">
        <is>
          <t>DALARNAS LÄN</t>
        </is>
      </c>
      <c r="G136" t="inlineStr">
        <is>
          <t>AVESTA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26516-2022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46249</v>
      </c>
      <c r="F137" t="inlineStr">
        <is>
          <t>DALARNAS LÄN</t>
        </is>
      </c>
      <c r="G137" t="inlineStr">
        <is>
          <t>AVESTA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46249</v>
      </c>
      <c r="F138" t="inlineStr">
        <is>
          <t>DALARNAS LÄN</t>
        </is>
      </c>
      <c r="G138" t="inlineStr">
        <is>
          <t>AVESTA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46249</v>
      </c>
      <c r="F139" t="inlineStr">
        <is>
          <t>DALARNAS LÄN</t>
        </is>
      </c>
      <c r="G139" t="inlineStr">
        <is>
          <t>AVESTA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46249</v>
      </c>
      <c r="F140" t="inlineStr">
        <is>
          <t>DALARNAS LÄN</t>
        </is>
      </c>
      <c r="G140" t="inlineStr">
        <is>
          <t>AVESTA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46249</v>
      </c>
      <c r="F141" t="inlineStr">
        <is>
          <t>DALARNAS LÄN</t>
        </is>
      </c>
      <c r="G141" t="inlineStr">
        <is>
          <t>AVESTA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45562</v>
      </c>
      <c r="E142" s="1" t="n">
        <v>46249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45982</v>
      </c>
      <c r="E143" s="1" t="n">
        <v>46249</v>
      </c>
      <c r="F143" t="inlineStr">
        <is>
          <t>DALARNAS LÄN</t>
        </is>
      </c>
      <c r="G143" t="inlineStr">
        <is>
          <t>AVESTA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46249</v>
      </c>
      <c r="F144" t="inlineStr">
        <is>
          <t>DALARNAS LÄN</t>
        </is>
      </c>
      <c r="G144" t="inlineStr">
        <is>
          <t>AVESTA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46249</v>
      </c>
      <c r="F145" t="inlineStr">
        <is>
          <t>DALARNAS LÄN</t>
        </is>
      </c>
      <c r="G145" t="inlineStr">
        <is>
          <t>AVESTA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32770-2023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45123</v>
      </c>
      <c r="E146" s="1" t="n">
        <v>46249</v>
      </c>
      <c r="F146" t="inlineStr">
        <is>
          <t>DALARNAS LÄN</t>
        </is>
      </c>
      <c r="G146" t="inlineStr">
        <is>
          <t>AVESTA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46249</v>
      </c>
      <c r="F147" t="inlineStr">
        <is>
          <t>DALARNAS LÄN</t>
        </is>
      </c>
      <c r="G147" t="inlineStr">
        <is>
          <t>AVESTA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45314</v>
      </c>
      <c r="E148" s="1" t="n">
        <v>46249</v>
      </c>
      <c r="F148" t="inlineStr">
        <is>
          <t>DALARNAS LÄN</t>
        </is>
      </c>
      <c r="G148" t="inlineStr">
        <is>
          <t>AVESTA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44739</v>
      </c>
      <c r="E149" s="1" t="n">
        <v>46249</v>
      </c>
      <c r="F149" t="inlineStr">
        <is>
          <t>DALARNAS LÄN</t>
        </is>
      </c>
      <c r="G149" t="inlineStr">
        <is>
          <t>AVESTA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50681-2024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45602</v>
      </c>
      <c r="E150" s="1" t="n">
        <v>46249</v>
      </c>
      <c r="F150" t="inlineStr">
        <is>
          <t>DALARNAS LÄN</t>
        </is>
      </c>
      <c r="G150" t="inlineStr">
        <is>
          <t>AVESTA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60182-2025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46249</v>
      </c>
      <c r="F151" t="inlineStr">
        <is>
          <t>DALARNAS LÄN</t>
        </is>
      </c>
      <c r="G151" t="inlineStr">
        <is>
          <t>AVESTA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45044</v>
      </c>
      <c r="E152" s="1" t="n">
        <v>46249</v>
      </c>
      <c r="F152" t="inlineStr">
        <is>
          <t>DALARNAS LÄN</t>
        </is>
      </c>
      <c r="G152" t="inlineStr">
        <is>
          <t>AVESTA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44971</v>
      </c>
      <c r="E153" s="1" t="n">
        <v>46249</v>
      </c>
      <c r="F153" t="inlineStr">
        <is>
          <t>DALARNAS LÄN</t>
        </is>
      </c>
      <c r="G153" t="inlineStr">
        <is>
          <t>AVESTA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22816-2023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45072</v>
      </c>
      <c r="E154" s="1" t="n">
        <v>46249</v>
      </c>
      <c r="F154" t="inlineStr">
        <is>
          <t>DALARNAS LÄN</t>
        </is>
      </c>
      <c r="G154" t="inlineStr">
        <is>
          <t>AVESTA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45611</v>
      </c>
      <c r="E155" s="1" t="n">
        <v>46249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46249</v>
      </c>
      <c r="F156" t="inlineStr">
        <is>
          <t>DALARNAS LÄN</t>
        </is>
      </c>
      <c r="G156" t="inlineStr">
        <is>
          <t>AVESTA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46249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46249</v>
      </c>
      <c r="F158" t="inlineStr">
        <is>
          <t>DALARNAS LÄN</t>
        </is>
      </c>
      <c r="G158" t="inlineStr">
        <is>
          <t>AVESTA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46249</v>
      </c>
      <c r="F159" t="inlineStr">
        <is>
          <t>DALARNAS LÄN</t>
        </is>
      </c>
      <c r="G159" t="inlineStr">
        <is>
          <t>AVESTA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18679-2026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46128</v>
      </c>
      <c r="E160" s="1" t="n">
        <v>46249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46249</v>
      </c>
      <c r="F161" t="inlineStr">
        <is>
          <t>DALARNAS LÄN</t>
        </is>
      </c>
      <c r="G161" t="inlineStr">
        <is>
          <t>AVESTA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46128</v>
      </c>
      <c r="E162" s="1" t="n">
        <v>46249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46249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45457</v>
      </c>
      <c r="E164" s="1" t="n">
        <v>46249</v>
      </c>
      <c r="F164" t="inlineStr">
        <is>
          <t>DALARNAS LÄN</t>
        </is>
      </c>
      <c r="G164" t="inlineStr">
        <is>
          <t>AVESTA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50682-2024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45602</v>
      </c>
      <c r="E165" s="1" t="n">
        <v>46249</v>
      </c>
      <c r="F165" t="inlineStr">
        <is>
          <t>DALARNAS LÄN</t>
        </is>
      </c>
      <c r="G165" t="inlineStr">
        <is>
          <t>AVESTA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50863-2021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44460</v>
      </c>
      <c r="E166" s="1" t="n">
        <v>46249</v>
      </c>
      <c r="F166" t="inlineStr">
        <is>
          <t>DALARNAS LÄN</t>
        </is>
      </c>
      <c r="G166" t="inlineStr">
        <is>
          <t>AVESTA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46133</v>
      </c>
      <c r="E167" s="1" t="n">
        <v>46249</v>
      </c>
      <c r="F167" t="inlineStr">
        <is>
          <t>DALARNAS LÄN</t>
        </is>
      </c>
      <c r="G167" t="inlineStr">
        <is>
          <t>AVESTA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45210</v>
      </c>
      <c r="E168" s="1" t="n">
        <v>46249</v>
      </c>
      <c r="F168" t="inlineStr">
        <is>
          <t>DALARNAS LÄN</t>
        </is>
      </c>
      <c r="G168" t="inlineStr">
        <is>
          <t>AVESTA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45527</v>
      </c>
      <c r="E169" s="1" t="n">
        <v>46249</v>
      </c>
      <c r="F169" t="inlineStr">
        <is>
          <t>DALARNAS LÄN</t>
        </is>
      </c>
      <c r="G169" t="inlineStr">
        <is>
          <t>AVESTA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45455</v>
      </c>
      <c r="E170" s="1" t="n">
        <v>46249</v>
      </c>
      <c r="F170" t="inlineStr">
        <is>
          <t>DALARNAS LÄN</t>
        </is>
      </c>
      <c r="G170" t="inlineStr">
        <is>
          <t>AVESTA</t>
        </is>
      </c>
      <c r="H170" t="inlineStr">
        <is>
          <t>Bergvik skog väst AB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46249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46249</v>
      </c>
      <c r="F172" t="inlineStr">
        <is>
          <t>DALARNAS LÄN</t>
        </is>
      </c>
      <c r="G172" t="inlineStr">
        <is>
          <t>AVESTA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46249</v>
      </c>
      <c r="F173" t="inlineStr">
        <is>
          <t>DALARNAS LÄN</t>
        </is>
      </c>
      <c r="G173" t="inlineStr">
        <is>
          <t>AVESTA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44855</v>
      </c>
      <c r="E174" s="1" t="n">
        <v>46249</v>
      </c>
      <c r="F174" t="inlineStr">
        <is>
          <t>DALARNAS LÄN</t>
        </is>
      </c>
      <c r="G174" t="inlineStr">
        <is>
          <t>AVESTA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56536-2024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46249</v>
      </c>
      <c r="F175" t="inlineStr">
        <is>
          <t>DALARNAS LÄN</t>
        </is>
      </c>
      <c r="G175" t="inlineStr">
        <is>
          <t>AVESTA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46249</v>
      </c>
      <c r="F176" t="inlineStr">
        <is>
          <t>DALARNAS LÄN</t>
        </is>
      </c>
      <c r="G176" t="inlineStr">
        <is>
          <t>AVESTA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45702</v>
      </c>
      <c r="E177" s="1" t="n">
        <v>46249</v>
      </c>
      <c r="F177" t="inlineStr">
        <is>
          <t>DALARNAS LÄN</t>
        </is>
      </c>
      <c r="G177" t="inlineStr">
        <is>
          <t>AVESTA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46249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45190</v>
      </c>
      <c r="E179" s="1" t="n">
        <v>46249</v>
      </c>
      <c r="F179" t="inlineStr">
        <is>
          <t>DALARNAS LÄN</t>
        </is>
      </c>
      <c r="G179" t="inlineStr">
        <is>
          <t>AVESTA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44687</v>
      </c>
      <c r="E180" s="1" t="n">
        <v>46249</v>
      </c>
      <c r="F180" t="inlineStr">
        <is>
          <t>DALARNAS LÄN</t>
        </is>
      </c>
      <c r="G180" t="inlineStr">
        <is>
          <t>AVESTA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46249</v>
      </c>
      <c r="F181" t="inlineStr">
        <is>
          <t>DALARNAS LÄN</t>
        </is>
      </c>
      <c r="G181" t="inlineStr">
        <is>
          <t>AVESTA</t>
        </is>
      </c>
      <c r="H181" t="inlineStr">
        <is>
          <t>Bergvik skog väst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45598</v>
      </c>
      <c r="E182" s="1" t="n">
        <v>46249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46249</v>
      </c>
      <c r="F183" t="inlineStr">
        <is>
          <t>DALARNAS LÄN</t>
        </is>
      </c>
      <c r="G183" t="inlineStr">
        <is>
          <t>AVESTA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64102-2025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46021</v>
      </c>
      <c r="E184" s="1" t="n">
        <v>46249</v>
      </c>
      <c r="F184" t="inlineStr">
        <is>
          <t>DALARNAS LÄN</t>
        </is>
      </c>
      <c r="G184" t="inlineStr">
        <is>
          <t>AVESTA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46249</v>
      </c>
      <c r="F185" t="inlineStr">
        <is>
          <t>DALARNAS LÄN</t>
        </is>
      </c>
      <c r="G185" t="inlineStr">
        <is>
          <t>AVESTA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45866</v>
      </c>
      <c r="E186" s="1" t="n">
        <v>46249</v>
      </c>
      <c r="F186" t="inlineStr">
        <is>
          <t>DALARNAS LÄN</t>
        </is>
      </c>
      <c r="G186" t="inlineStr">
        <is>
          <t>AVESTA</t>
        </is>
      </c>
      <c r="I186" t="n">
        <v>10.6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46249</v>
      </c>
      <c r="F187" t="inlineStr">
        <is>
          <t>DALARNAS LÄN</t>
        </is>
      </c>
      <c r="G187" t="inlineStr">
        <is>
          <t>AVESTA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45008</v>
      </c>
      <c r="E188" s="1" t="n">
        <v>46249</v>
      </c>
      <c r="F188" t="inlineStr">
        <is>
          <t>DALARNAS LÄN</t>
        </is>
      </c>
      <c r="G188" t="inlineStr">
        <is>
          <t>AVESTA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44141-2022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46249</v>
      </c>
      <c r="F189" t="inlineStr">
        <is>
          <t>DALARNAS LÄN</t>
        </is>
      </c>
      <c r="G189" t="inlineStr">
        <is>
          <t>AVESTA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46249</v>
      </c>
      <c r="F190" t="inlineStr">
        <is>
          <t>DALARNAS LÄN</t>
        </is>
      </c>
      <c r="G190" t="inlineStr">
        <is>
          <t>AVESTA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45729</v>
      </c>
      <c r="E191" s="1" t="n">
        <v>46249</v>
      </c>
      <c r="F191" t="inlineStr">
        <is>
          <t>DALARNAS LÄN</t>
        </is>
      </c>
      <c r="G191" t="inlineStr">
        <is>
          <t>AVESTA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46249</v>
      </c>
      <c r="F192" t="inlineStr">
        <is>
          <t>DALARNAS LÄN</t>
        </is>
      </c>
      <c r="G192" t="inlineStr">
        <is>
          <t>AVESTA</t>
        </is>
      </c>
      <c r="H192" t="inlineStr">
        <is>
          <t>Bergvik skog väst AB</t>
        </is>
      </c>
      <c r="I192" t="n">
        <v>12.1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46249</v>
      </c>
      <c r="F193" t="inlineStr">
        <is>
          <t>DALARNAS LÄN</t>
        </is>
      </c>
      <c r="G193" t="inlineStr">
        <is>
          <t>AVESTA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46249</v>
      </c>
      <c r="F194" t="inlineStr">
        <is>
          <t>DALARNAS LÄN</t>
        </is>
      </c>
      <c r="G194" t="inlineStr">
        <is>
          <t>AVESTA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46249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46249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46249</v>
      </c>
      <c r="F197" t="inlineStr">
        <is>
          <t>DALARNAS LÄN</t>
        </is>
      </c>
      <c r="G197" t="inlineStr">
        <is>
          <t>AVESTA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46249</v>
      </c>
      <c r="F198" t="inlineStr">
        <is>
          <t>DALARNAS LÄN</t>
        </is>
      </c>
      <c r="G198" t="inlineStr">
        <is>
          <t>AVESTA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46249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16522-2025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45751</v>
      </c>
      <c r="E200" s="1" t="n">
        <v>46249</v>
      </c>
      <c r="F200" t="inlineStr">
        <is>
          <t>DALARNAS LÄN</t>
        </is>
      </c>
      <c r="G200" t="inlineStr">
        <is>
          <t>AVESTA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45511</v>
      </c>
      <c r="E201" s="1" t="n">
        <v>46249</v>
      </c>
      <c r="F201" t="inlineStr">
        <is>
          <t>DALARNAS LÄN</t>
        </is>
      </c>
      <c r="G201" t="inlineStr">
        <is>
          <t>AVESTA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46249</v>
      </c>
      <c r="F202" t="inlineStr">
        <is>
          <t>DALARNAS LÄN</t>
        </is>
      </c>
      <c r="G202" t="inlineStr">
        <is>
          <t>AVESTA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45719</v>
      </c>
      <c r="E203" s="1" t="n">
        <v>46249</v>
      </c>
      <c r="F203" t="inlineStr">
        <is>
          <t>DALARNAS LÄN</t>
        </is>
      </c>
      <c r="G203" t="inlineStr">
        <is>
          <t>AVESTA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46249</v>
      </c>
      <c r="F204" t="inlineStr">
        <is>
          <t>DALARNAS LÄN</t>
        </is>
      </c>
      <c r="G204" t="inlineStr">
        <is>
          <t>AVESTA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46249</v>
      </c>
      <c r="F205" t="inlineStr">
        <is>
          <t>DALARNAS LÄN</t>
        </is>
      </c>
      <c r="G205" t="inlineStr">
        <is>
          <t>AVESTA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46249</v>
      </c>
      <c r="F206" t="inlineStr">
        <is>
          <t>DALARNAS LÄN</t>
        </is>
      </c>
      <c r="G206" t="inlineStr">
        <is>
          <t>AVESTA</t>
        </is>
      </c>
      <c r="I206" t="n">
        <v>17.6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46249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46249</v>
      </c>
      <c r="F208" t="inlineStr">
        <is>
          <t>DALARNAS LÄN</t>
        </is>
      </c>
      <c r="G208" t="inlineStr">
        <is>
          <t>AVESTA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46249</v>
      </c>
      <c r="F209" t="inlineStr">
        <is>
          <t>DALARNAS LÄN</t>
        </is>
      </c>
      <c r="G209" t="inlineStr">
        <is>
          <t>AVESTA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45734</v>
      </c>
      <c r="E210" s="1" t="n">
        <v>46249</v>
      </c>
      <c r="F210" t="inlineStr">
        <is>
          <t>DALARNAS LÄN</t>
        </is>
      </c>
      <c r="G210" t="inlineStr">
        <is>
          <t>AVESTA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45492</v>
      </c>
      <c r="E211" s="1" t="n">
        <v>46249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46249</v>
      </c>
      <c r="F212" t="inlineStr">
        <is>
          <t>DALARNAS LÄN</t>
        </is>
      </c>
      <c r="G212" t="inlineStr">
        <is>
          <t>AVESTA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14090-2023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45009</v>
      </c>
      <c r="E213" s="1" t="n">
        <v>46249</v>
      </c>
      <c r="F213" t="inlineStr">
        <is>
          <t>DALARNAS LÄN</t>
        </is>
      </c>
      <c r="G213" t="inlineStr">
        <is>
          <t>AVESTA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46249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46249</v>
      </c>
      <c r="F215" t="inlineStr">
        <is>
          <t>DALARNAS LÄN</t>
        </is>
      </c>
      <c r="G215" t="inlineStr">
        <is>
          <t>AVESTA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44551</v>
      </c>
      <c r="E216" s="1" t="n">
        <v>46249</v>
      </c>
      <c r="F216" t="inlineStr">
        <is>
          <t>DALARNAS LÄN</t>
        </is>
      </c>
      <c r="G216" t="inlineStr">
        <is>
          <t>AVESTA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46249</v>
      </c>
      <c r="F217" t="inlineStr">
        <is>
          <t>DALARNAS LÄN</t>
        </is>
      </c>
      <c r="G217" t="inlineStr">
        <is>
          <t>AVESTA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46249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45763</v>
      </c>
      <c r="E219" s="1" t="n">
        <v>46249</v>
      </c>
      <c r="F219" t="inlineStr">
        <is>
          <t>DALARNAS LÄN</t>
        </is>
      </c>
      <c r="G219" t="inlineStr">
        <is>
          <t>AVESTA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45273</v>
      </c>
      <c r="E220" s="1" t="n">
        <v>46249</v>
      </c>
      <c r="F220" t="inlineStr">
        <is>
          <t>DALARNAS LÄN</t>
        </is>
      </c>
      <c r="G220" t="inlineStr">
        <is>
          <t>AVESTA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45510</v>
      </c>
      <c r="E221" s="1" t="n">
        <v>46249</v>
      </c>
      <c r="F221" t="inlineStr">
        <is>
          <t>DALARNAS LÄN</t>
        </is>
      </c>
      <c r="G221" t="inlineStr">
        <is>
          <t>AVESTA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44684</v>
      </c>
      <c r="E222" s="1" t="n">
        <v>46249</v>
      </c>
      <c r="F222" t="inlineStr">
        <is>
          <t>DALARNAS LÄN</t>
        </is>
      </c>
      <c r="G222" t="inlineStr">
        <is>
          <t>AVESTA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46249</v>
      </c>
      <c r="F223" t="inlineStr">
        <is>
          <t>DALARNAS LÄN</t>
        </is>
      </c>
      <c r="G223" t="inlineStr">
        <is>
          <t>AVESTA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45008</v>
      </c>
      <c r="E224" s="1" t="n">
        <v>46249</v>
      </c>
      <c r="F224" t="inlineStr">
        <is>
          <t>DALARNAS LÄN</t>
        </is>
      </c>
      <c r="G224" t="inlineStr">
        <is>
          <t>AVESTA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45007</v>
      </c>
      <c r="E225" s="1" t="n">
        <v>46249</v>
      </c>
      <c r="F225" t="inlineStr">
        <is>
          <t>DALARNAS LÄN</t>
        </is>
      </c>
      <c r="G225" t="inlineStr">
        <is>
          <t>AVESTA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45252</v>
      </c>
      <c r="E226" s="1" t="n">
        <v>46249</v>
      </c>
      <c r="F226" t="inlineStr">
        <is>
          <t>DALARNAS LÄN</t>
        </is>
      </c>
      <c r="G226" t="inlineStr">
        <is>
          <t>AVESTA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44977</v>
      </c>
      <c r="E227" s="1" t="n">
        <v>46249</v>
      </c>
      <c r="F227" t="inlineStr">
        <is>
          <t>DALARNAS LÄN</t>
        </is>
      </c>
      <c r="G227" t="inlineStr">
        <is>
          <t>AVESTA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21027-2026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46249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46249</v>
      </c>
      <c r="F229" t="inlineStr">
        <is>
          <t>DALARNAS LÄN</t>
        </is>
      </c>
      <c r="G229" t="inlineStr">
        <is>
          <t>AVESTA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46249</v>
      </c>
      <c r="F230" t="inlineStr">
        <is>
          <t>DALARNAS LÄN</t>
        </is>
      </c>
      <c r="G230" t="inlineStr">
        <is>
          <t>AVESTA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46249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44809</v>
      </c>
      <c r="E232" s="1" t="n">
        <v>46249</v>
      </c>
      <c r="F232" t="inlineStr">
        <is>
          <t>DALARNAS LÄN</t>
        </is>
      </c>
      <c r="G232" t="inlineStr">
        <is>
          <t>AVESTA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63519-2021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44508</v>
      </c>
      <c r="E233" s="1" t="n">
        <v>46249</v>
      </c>
      <c r="F233" t="inlineStr">
        <is>
          <t>DALARNAS LÄN</t>
        </is>
      </c>
      <c r="G233" t="inlineStr">
        <is>
          <t>AVESTA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45505</v>
      </c>
      <c r="E234" s="1" t="n">
        <v>46249</v>
      </c>
      <c r="F234" t="inlineStr">
        <is>
          <t>DALARNAS LÄN</t>
        </is>
      </c>
      <c r="G234" t="inlineStr">
        <is>
          <t>AVESTA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45321</v>
      </c>
      <c r="E235" s="1" t="n">
        <v>46249</v>
      </c>
      <c r="F235" t="inlineStr">
        <is>
          <t>DALARNAS LÄN</t>
        </is>
      </c>
      <c r="G235" t="inlineStr">
        <is>
          <t>AVESTA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44971</v>
      </c>
      <c r="E236" s="1" t="n">
        <v>46249</v>
      </c>
      <c r="F236" t="inlineStr">
        <is>
          <t>DALARNAS LÄN</t>
        </is>
      </c>
      <c r="G236" t="inlineStr">
        <is>
          <t>AVESTA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45123</v>
      </c>
      <c r="E237" s="1" t="n">
        <v>46249</v>
      </c>
      <c r="F237" t="inlineStr">
        <is>
          <t>DALARNAS LÄN</t>
        </is>
      </c>
      <c r="G237" t="inlineStr">
        <is>
          <t>AVESTA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32771-2023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45123</v>
      </c>
      <c r="E238" s="1" t="n">
        <v>46249</v>
      </c>
      <c r="F238" t="inlineStr">
        <is>
          <t>DALARNAS LÄN</t>
        </is>
      </c>
      <c r="G238" t="inlineStr">
        <is>
          <t>AVESTA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46249</v>
      </c>
      <c r="F239" t="inlineStr">
        <is>
          <t>DALARNAS LÄN</t>
        </is>
      </c>
      <c r="G239" t="inlineStr">
        <is>
          <t>AVESTA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45803</v>
      </c>
      <c r="E240" s="1" t="n">
        <v>46249</v>
      </c>
      <c r="F240" t="inlineStr">
        <is>
          <t>DALARNAS LÄN</t>
        </is>
      </c>
      <c r="G240" t="inlineStr">
        <is>
          <t>AVESTA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45058</v>
      </c>
      <c r="E241" s="1" t="n">
        <v>46249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19674-2026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46249</v>
      </c>
      <c r="F242" t="inlineStr">
        <is>
          <t>DALARNAS LÄN</t>
        </is>
      </c>
      <c r="G242" t="inlineStr">
        <is>
          <t>AVESTA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22579-2026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46249</v>
      </c>
      <c r="F243" t="inlineStr">
        <is>
          <t>DALARNAS LÄN</t>
        </is>
      </c>
      <c r="G243" t="inlineStr">
        <is>
          <t>AVESTA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46249</v>
      </c>
      <c r="F244" t="inlineStr">
        <is>
          <t>DALARNAS LÄN</t>
        </is>
      </c>
      <c r="G244" t="inlineStr">
        <is>
          <t>AVESTA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46249</v>
      </c>
      <c r="F245" t="inlineStr">
        <is>
          <t>DALARNAS LÄN</t>
        </is>
      </c>
      <c r="G245" t="inlineStr">
        <is>
          <t>AVESTA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46155</v>
      </c>
      <c r="E246" s="1" t="n">
        <v>46249</v>
      </c>
      <c r="F246" t="inlineStr">
        <is>
          <t>DALARNAS LÄN</t>
        </is>
      </c>
      <c r="G246" t="inlineStr">
        <is>
          <t>AVESTA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46249</v>
      </c>
      <c r="F247" t="inlineStr">
        <is>
          <t>DALARNAS LÄN</t>
        </is>
      </c>
      <c r="G247" t="inlineStr">
        <is>
          <t>AVESTA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46249</v>
      </c>
      <c r="F248" t="inlineStr">
        <is>
          <t>DALARNAS LÄN</t>
        </is>
      </c>
      <c r="G248" t="inlineStr">
        <is>
          <t>AVESTA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46249</v>
      </c>
      <c r="F249" t="inlineStr">
        <is>
          <t>DALARNAS LÄN</t>
        </is>
      </c>
      <c r="G249" t="inlineStr">
        <is>
          <t>AVESTA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45330</v>
      </c>
      <c r="E250" s="1" t="n">
        <v>46249</v>
      </c>
      <c r="F250" t="inlineStr">
        <is>
          <t>DALARNAS LÄN</t>
        </is>
      </c>
      <c r="G250" t="inlineStr">
        <is>
          <t>AVESTA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45538</v>
      </c>
      <c r="E251" s="1" t="n">
        <v>46249</v>
      </c>
      <c r="F251" t="inlineStr">
        <is>
          <t>DALARNAS LÄN</t>
        </is>
      </c>
      <c r="G251" t="inlineStr">
        <is>
          <t>AVESTA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19359-2025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45769</v>
      </c>
      <c r="E252" s="1" t="n">
        <v>46249</v>
      </c>
      <c r="F252" t="inlineStr">
        <is>
          <t>DALARNAS LÄN</t>
        </is>
      </c>
      <c r="G252" t="inlineStr">
        <is>
          <t>AVESTA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56721-2024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46249</v>
      </c>
      <c r="F253" t="inlineStr">
        <is>
          <t>DALARNAS LÄN</t>
        </is>
      </c>
      <c r="G253" t="inlineStr">
        <is>
          <t>AVESTA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46249</v>
      </c>
      <c r="F254" t="inlineStr">
        <is>
          <t>DALARNAS LÄN</t>
        </is>
      </c>
      <c r="G254" t="inlineStr">
        <is>
          <t>AVESTA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45269</v>
      </c>
      <c r="E255" s="1" t="n">
        <v>46249</v>
      </c>
      <c r="F255" t="inlineStr">
        <is>
          <t>DALARNAS LÄN</t>
        </is>
      </c>
      <c r="G255" t="inlineStr">
        <is>
          <t>AVESTA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45777</v>
      </c>
      <c r="E256" s="1" t="n">
        <v>46249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45505</v>
      </c>
      <c r="E257" s="1" t="n">
        <v>46249</v>
      </c>
      <c r="F257" t="inlineStr">
        <is>
          <t>DALARNAS LÄN</t>
        </is>
      </c>
      <c r="G257" t="inlineStr">
        <is>
          <t>AVESTA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46249</v>
      </c>
      <c r="F258" t="inlineStr">
        <is>
          <t>DALARNAS LÄN</t>
        </is>
      </c>
      <c r="G258" t="inlineStr">
        <is>
          <t>AVESTA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46249</v>
      </c>
      <c r="F259" t="inlineStr">
        <is>
          <t>DALARNAS LÄN</t>
        </is>
      </c>
      <c r="G259" t="inlineStr">
        <is>
          <t>AVESTA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15923-2024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45405</v>
      </c>
      <c r="E260" s="1" t="n">
        <v>46249</v>
      </c>
      <c r="F260" t="inlineStr">
        <is>
          <t>DALARNAS LÄN</t>
        </is>
      </c>
      <c r="G260" t="inlineStr">
        <is>
          <t>AVESTA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6262-2023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44963</v>
      </c>
      <c r="E261" s="1" t="n">
        <v>46249</v>
      </c>
      <c r="F261" t="inlineStr">
        <is>
          <t>DALARNAS LÄN</t>
        </is>
      </c>
      <c r="G261" t="inlineStr">
        <is>
          <t>AVESTA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46249</v>
      </c>
      <c r="F262" t="inlineStr">
        <is>
          <t>DALARNAS LÄN</t>
        </is>
      </c>
      <c r="G262" t="inlineStr">
        <is>
          <t>AVESTA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46249</v>
      </c>
      <c r="F263" t="inlineStr">
        <is>
          <t>DALARNAS LÄN</t>
        </is>
      </c>
      <c r="G263" t="inlineStr">
        <is>
          <t>AVESTA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46169</v>
      </c>
      <c r="E264" s="1" t="n">
        <v>46249</v>
      </c>
      <c r="F264" t="inlineStr">
        <is>
          <t>DALARNAS LÄN</t>
        </is>
      </c>
      <c r="G264" t="inlineStr">
        <is>
          <t>AVESTA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34186-2023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45138</v>
      </c>
      <c r="E265" s="1" t="n">
        <v>46249</v>
      </c>
      <c r="F265" t="inlineStr">
        <is>
          <t>DALARNAS LÄN</t>
        </is>
      </c>
      <c r="G265" t="inlineStr">
        <is>
          <t>AVESTA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46249</v>
      </c>
      <c r="F266" t="inlineStr">
        <is>
          <t>DALARNAS LÄN</t>
        </is>
      </c>
      <c r="G266" t="inlineStr">
        <is>
          <t>AVESTA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46169</v>
      </c>
      <c r="E267" s="1" t="n">
        <v>46249</v>
      </c>
      <c r="F267" t="inlineStr">
        <is>
          <t>DALARNAS LÄN</t>
        </is>
      </c>
      <c r="G267" t="inlineStr">
        <is>
          <t>AVESTA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46249</v>
      </c>
      <c r="F268" t="inlineStr">
        <is>
          <t>DALARNAS LÄN</t>
        </is>
      </c>
      <c r="G268" t="inlineStr">
        <is>
          <t>AVESTA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45510</v>
      </c>
      <c r="E269" s="1" t="n">
        <v>46249</v>
      </c>
      <c r="F269" t="inlineStr">
        <is>
          <t>DALARNAS LÄN</t>
        </is>
      </c>
      <c r="G269" t="inlineStr">
        <is>
          <t>AVESTA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45598</v>
      </c>
      <c r="E270" s="1" t="n">
        <v>46249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45583</v>
      </c>
      <c r="E271" s="1" t="n">
        <v>46249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45405</v>
      </c>
      <c r="E272" s="1" t="n">
        <v>46249</v>
      </c>
      <c r="F272" t="inlineStr">
        <is>
          <t>DALARNAS LÄN</t>
        </is>
      </c>
      <c r="G272" t="inlineStr">
        <is>
          <t>AVESTA</t>
        </is>
      </c>
      <c r="I272" t="n">
        <v>13.7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44998</v>
      </c>
      <c r="E273" s="1" t="n">
        <v>46249</v>
      </c>
      <c r="F273" t="inlineStr">
        <is>
          <t>DALARNAS LÄN</t>
        </is>
      </c>
      <c r="G273" t="inlineStr">
        <is>
          <t>AVESTA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45702</v>
      </c>
      <c r="E274" s="1" t="n">
        <v>46249</v>
      </c>
      <c r="F274" t="inlineStr">
        <is>
          <t>DALARNAS LÄN</t>
        </is>
      </c>
      <c r="G274" t="inlineStr">
        <is>
          <t>AVESTA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46249</v>
      </c>
      <c r="F275" t="inlineStr">
        <is>
          <t>DALARNAS LÄN</t>
        </is>
      </c>
      <c r="G275" t="inlineStr">
        <is>
          <t>AVESTA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45796</v>
      </c>
      <c r="E276" s="1" t="n">
        <v>46249</v>
      </c>
      <c r="F276" t="inlineStr">
        <is>
          <t>DALARNAS LÄN</t>
        </is>
      </c>
      <c r="G276" t="inlineStr">
        <is>
          <t>AVESTA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45796</v>
      </c>
      <c r="E277" s="1" t="n">
        <v>46249</v>
      </c>
      <c r="F277" t="inlineStr">
        <is>
          <t>DALARNAS LÄN</t>
        </is>
      </c>
      <c r="G277" t="inlineStr">
        <is>
          <t>AVESTA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45796</v>
      </c>
      <c r="E278" s="1" t="n">
        <v>46249</v>
      </c>
      <c r="F278" t="inlineStr">
        <is>
          <t>DALARNAS LÄN</t>
        </is>
      </c>
      <c r="G278" t="inlineStr">
        <is>
          <t>AVESTA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45796</v>
      </c>
      <c r="E279" s="1" t="n">
        <v>46249</v>
      </c>
      <c r="F279" t="inlineStr">
        <is>
          <t>DALARNAS LÄN</t>
        </is>
      </c>
      <c r="G279" t="inlineStr">
        <is>
          <t>AVESTA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62093-2024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45656</v>
      </c>
      <c r="E280" s="1" t="n">
        <v>46249</v>
      </c>
      <c r="F280" t="inlineStr">
        <is>
          <t>DALARNAS LÄN</t>
        </is>
      </c>
      <c r="G280" t="inlineStr">
        <is>
          <t>AVESTA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46249</v>
      </c>
      <c r="F281" t="inlineStr">
        <is>
          <t>DALARNAS LÄN</t>
        </is>
      </c>
      <c r="G281" t="inlineStr">
        <is>
          <t>AVESTA</t>
        </is>
      </c>
      <c r="I281" t="n">
        <v>19.2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45505</v>
      </c>
      <c r="E282" s="1" t="n">
        <v>46249</v>
      </c>
      <c r="F282" t="inlineStr">
        <is>
          <t>DALARNAS LÄN</t>
        </is>
      </c>
      <c r="G282" t="inlineStr">
        <is>
          <t>AVESTA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24834-2025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45799</v>
      </c>
      <c r="E283" s="1" t="n">
        <v>46249</v>
      </c>
      <c r="F283" t="inlineStr">
        <is>
          <t>DALARNAS LÄN</t>
        </is>
      </c>
      <c r="G283" t="inlineStr">
        <is>
          <t>AVESTA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45008</v>
      </c>
      <c r="E284" s="1" t="n">
        <v>46249</v>
      </c>
      <c r="F284" t="inlineStr">
        <is>
          <t>DALARNAS LÄN</t>
        </is>
      </c>
      <c r="G284" t="inlineStr">
        <is>
          <t>AVESTA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45799</v>
      </c>
      <c r="E285" s="1" t="n">
        <v>46249</v>
      </c>
      <c r="F285" t="inlineStr">
        <is>
          <t>DALARNAS LÄN</t>
        </is>
      </c>
      <c r="G285" t="inlineStr">
        <is>
          <t>AVESTA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45799</v>
      </c>
      <c r="E286" s="1" t="n">
        <v>46249</v>
      </c>
      <c r="F286" t="inlineStr">
        <is>
          <t>DALARNAS LÄN</t>
        </is>
      </c>
      <c r="G286" t="inlineStr">
        <is>
          <t>AVESTA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44571</v>
      </c>
      <c r="E287" s="1" t="n">
        <v>46249</v>
      </c>
      <c r="F287" t="inlineStr">
        <is>
          <t>DALARNAS LÄN</t>
        </is>
      </c>
      <c r="G287" t="inlineStr">
        <is>
          <t>AVESTA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45799</v>
      </c>
      <c r="E288" s="1" t="n">
        <v>46249</v>
      </c>
      <c r="F288" t="inlineStr">
        <is>
          <t>DALARNAS LÄN</t>
        </is>
      </c>
      <c r="G288" t="inlineStr">
        <is>
          <t>AVESTA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46249</v>
      </c>
      <c r="F289" t="inlineStr">
        <is>
          <t>DALARNAS LÄN</t>
        </is>
      </c>
      <c r="G289" t="inlineStr">
        <is>
          <t>AVESTA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46249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37.2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45803</v>
      </c>
      <c r="E291" s="1" t="n">
        <v>46249</v>
      </c>
      <c r="F291" t="inlineStr">
        <is>
          <t>DALARNAS LÄN</t>
        </is>
      </c>
      <c r="G291" t="inlineStr">
        <is>
          <t>AVESTA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46249</v>
      </c>
      <c r="F292" t="inlineStr">
        <is>
          <t>DALARNAS LÄN</t>
        </is>
      </c>
      <c r="G292" t="inlineStr">
        <is>
          <t>AVESTA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46249</v>
      </c>
      <c r="F293" t="inlineStr">
        <is>
          <t>DALARNAS LÄN</t>
        </is>
      </c>
      <c r="G293" t="inlineStr">
        <is>
          <t>AVESTA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46249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45499</v>
      </c>
      <c r="E295" s="1" t="n">
        <v>46249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11825-2026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46085</v>
      </c>
      <c r="E296" s="1" t="n">
        <v>46249</v>
      </c>
      <c r="F296" t="inlineStr">
        <is>
          <t>DALARNAS LÄN</t>
        </is>
      </c>
      <c r="G296" t="inlineStr">
        <is>
          <t>AVESTA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46124</v>
      </c>
      <c r="E297" s="1" t="n">
        <v>46249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46178</v>
      </c>
      <c r="E298" s="1" t="n">
        <v>46249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46223</v>
      </c>
      <c r="E299" s="1" t="n">
        <v>46249</v>
      </c>
      <c r="F299" t="inlineStr">
        <is>
          <t>DALARNAS LÄN</t>
        </is>
      </c>
      <c r="G299" t="inlineStr">
        <is>
          <t>AVESTA</t>
        </is>
      </c>
      <c r="H299" t="inlineStr">
        <is>
          <t>Bergvik skog väst AB</t>
        </is>
      </c>
      <c r="I299" t="n">
        <v>21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46183</v>
      </c>
      <c r="E300" s="1" t="n">
        <v>46249</v>
      </c>
      <c r="F300" t="inlineStr">
        <is>
          <t>DALARNAS LÄN</t>
        </is>
      </c>
      <c r="G300" t="inlineStr">
        <is>
          <t>AVESTA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26337-2026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46182</v>
      </c>
      <c r="E301" s="1" t="n">
        <v>46249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45649</v>
      </c>
      <c r="E302" s="1" t="n">
        <v>46249</v>
      </c>
      <c r="F302" t="inlineStr">
        <is>
          <t>DALARNAS LÄN</t>
        </is>
      </c>
      <c r="G302" t="inlineStr">
        <is>
          <t>AVESTA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46249</v>
      </c>
      <c r="F303" t="inlineStr">
        <is>
          <t>DALARNAS LÄN</t>
        </is>
      </c>
      <c r="G303" t="inlineStr">
        <is>
          <t>AVESTA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46249</v>
      </c>
      <c r="F304" t="inlineStr">
        <is>
          <t>DALARNAS LÄN</t>
        </is>
      </c>
      <c r="G304" t="inlineStr">
        <is>
          <t>AVESTA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46249</v>
      </c>
      <c r="F305" t="inlineStr">
        <is>
          <t>DALARNAS LÄN</t>
        </is>
      </c>
      <c r="G305" t="inlineStr">
        <is>
          <t>AVESTA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45715</v>
      </c>
      <c r="E306" s="1" t="n">
        <v>46249</v>
      </c>
      <c r="F306" t="inlineStr">
        <is>
          <t>DALARNAS LÄN</t>
        </is>
      </c>
      <c r="G306" t="inlineStr">
        <is>
          <t>AVESTA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46249</v>
      </c>
      <c r="F307" t="inlineStr">
        <is>
          <t>DALARNAS LÄN</t>
        </is>
      </c>
      <c r="G307" t="inlineStr">
        <is>
          <t>AVESTA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44613</v>
      </c>
      <c r="E308" s="1" t="n">
        <v>46249</v>
      </c>
      <c r="F308" t="inlineStr">
        <is>
          <t>DALARNAS LÄN</t>
        </is>
      </c>
      <c r="G308" t="inlineStr">
        <is>
          <t>AVESTA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44614</v>
      </c>
      <c r="E309" s="1" t="n">
        <v>46249</v>
      </c>
      <c r="F309" t="inlineStr">
        <is>
          <t>DALARNAS LÄN</t>
        </is>
      </c>
      <c r="G309" t="inlineStr">
        <is>
          <t>AVESTA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29468-2022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44753</v>
      </c>
      <c r="E310" s="1" t="n">
        <v>46249</v>
      </c>
      <c r="F310" t="inlineStr">
        <is>
          <t>DALARNAS LÄN</t>
        </is>
      </c>
      <c r="G310" t="inlineStr">
        <is>
          <t>AVESTA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32720-2024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45514</v>
      </c>
      <c r="E311" s="1" t="n">
        <v>46249</v>
      </c>
      <c r="F311" t="inlineStr">
        <is>
          <t>DALARNAS LÄN</t>
        </is>
      </c>
      <c r="G311" t="inlineStr">
        <is>
          <t>AVESTA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46249</v>
      </c>
      <c r="F312" t="inlineStr">
        <is>
          <t>DALARNAS LÄN</t>
        </is>
      </c>
      <c r="G312" t="inlineStr">
        <is>
          <t>AVESTA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46249</v>
      </c>
      <c r="F313" t="inlineStr">
        <is>
          <t>DALARNAS LÄN</t>
        </is>
      </c>
      <c r="G313" t="inlineStr">
        <is>
          <t>AVESTA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45708</v>
      </c>
      <c r="E314" s="1" t="n">
        <v>46249</v>
      </c>
      <c r="F314" t="inlineStr">
        <is>
          <t>DALARNAS LÄN</t>
        </is>
      </c>
      <c r="G314" t="inlineStr">
        <is>
          <t>AVESTA</t>
        </is>
      </c>
      <c r="I314" t="n">
        <v>7.4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13922-2022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44650</v>
      </c>
      <c r="E315" s="1" t="n">
        <v>46249</v>
      </c>
      <c r="F315" t="inlineStr">
        <is>
          <t>DALARNAS LÄN</t>
        </is>
      </c>
      <c r="G315" t="inlineStr">
        <is>
          <t>AVESTA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46249</v>
      </c>
      <c r="F316" t="inlineStr">
        <is>
          <t>DALARNAS LÄN</t>
        </is>
      </c>
      <c r="G316" t="inlineStr">
        <is>
          <t>AVESTA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28227-2026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46196</v>
      </c>
      <c r="E317" s="1" t="n">
        <v>46249</v>
      </c>
      <c r="F317" t="inlineStr">
        <is>
          <t>DALARNAS LÄN</t>
        </is>
      </c>
      <c r="G317" t="inlineStr">
        <is>
          <t>AVESTA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45863</v>
      </c>
      <c r="E318" s="1" t="n">
        <v>46249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14.1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45863</v>
      </c>
      <c r="E319" s="1" t="n">
        <v>46249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46249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46244</v>
      </c>
      <c r="E321" s="1" t="n">
        <v>46249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46249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46249</v>
      </c>
      <c r="F323" t="inlineStr">
        <is>
          <t>DALARNAS LÄN</t>
        </is>
      </c>
      <c r="G323" t="inlineStr">
        <is>
          <t>AVESTA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9403-2022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44616</v>
      </c>
      <c r="E324" s="1" t="n">
        <v>46249</v>
      </c>
      <c r="F324" t="inlineStr">
        <is>
          <t>DALARNAS LÄN</t>
        </is>
      </c>
      <c r="G324" t="inlineStr">
        <is>
          <t>AVESTA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46249</v>
      </c>
      <c r="F325" t="inlineStr">
        <is>
          <t>DALARNAS LÄN</t>
        </is>
      </c>
      <c r="G325" t="inlineStr">
        <is>
          <t>AVESTA</t>
        </is>
      </c>
      <c r="H325" t="inlineStr">
        <is>
          <t>Sveaskog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46246</v>
      </c>
      <c r="E326" s="1" t="n">
        <v>46249</v>
      </c>
      <c r="F326" t="inlineStr">
        <is>
          <t>DALARNAS LÄN</t>
        </is>
      </c>
      <c r="G326" t="inlineStr">
        <is>
          <t>AVESTA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29996-2026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46205</v>
      </c>
      <c r="E327" s="1" t="n">
        <v>46249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843-2024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46249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396-2022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44585</v>
      </c>
      <c r="E329" s="1" t="n">
        <v>46249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197-2024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45315</v>
      </c>
      <c r="E330" s="1" t="n">
        <v>46249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öst AB</t>
        </is>
      </c>
      <c r="I330" t="n">
        <v>149.1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50-2024</t>
        </is>
      </c>
      <c r="B331" t="inlineStr">
        <is>
          <t>samrådsanmälan</t>
        </is>
      </c>
      <c r="C331" t="inlineStr">
        <is>
          <t>Skogsbilväg</t>
        </is>
      </c>
      <c r="D331" s="1" t="n">
        <v>45296</v>
      </c>
      <c r="E331" s="1" t="n">
        <v>46249</v>
      </c>
      <c r="F331" t="inlineStr">
        <is>
          <t>DALARNAS LÄN</t>
        </is>
      </c>
      <c r="G331" t="inlineStr">
        <is>
          <t>AVESTA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861-2024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46249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709-2025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45720</v>
      </c>
      <c r="E333" s="1" t="n">
        <v>46249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136.3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2297-2025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45880</v>
      </c>
      <c r="E334" s="1" t="n">
        <v>46249</v>
      </c>
      <c r="F334" t="inlineStr">
        <is>
          <t>DALARNAS LÄN</t>
        </is>
      </c>
      <c r="G334" t="inlineStr">
        <is>
          <t>AVESTA</t>
        </is>
      </c>
      <c r="I334" t="n">
        <v>98.7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595-2026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46085</v>
      </c>
      <c r="E335" s="1" t="n">
        <v>46249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28.9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2026-08-15T08:30:53Z</dcterms:created>
  <dcterms:modified xmlns:dcterms="http://purl.org/dc/terms/" xmlns:xsi="http://www.w3.org/2001/XMLSchema-instance" xsi:type="dcterms:W3CDTF">2026-08-15T08:30:53Z</dcterms:modified>
</cp:coreProperties>
</file>